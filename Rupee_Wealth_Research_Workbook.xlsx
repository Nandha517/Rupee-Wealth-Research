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nanth\Downloads\Finance_Posts\New folder\"/>
    </mc:Choice>
  </mc:AlternateContent>
  <xr:revisionPtr revIDLastSave="0" documentId="13_ncr:1_{78DC2F06-C632-447C-93A8-DAC6833CA58D}" xr6:coauthVersionLast="47" xr6:coauthVersionMax="47" xr10:uidLastSave="{00000000-0000-0000-0000-000000000000}"/>
  <bookViews>
    <workbookView xWindow="-108" yWindow="-108" windowWidth="23256" windowHeight="12456" xr2:uid="{00000000-000D-0000-FFFF-FFFF00000000}"/>
  </bookViews>
  <sheets>
    <sheet name="Directory" sheetId="1" r:id="rId1"/>
    <sheet name="Raw_Data" sheetId="6" r:id="rId2"/>
    <sheet name="Monthly Data" sheetId="2" r:id="rId3"/>
    <sheet name="Results" sheetId="3" r:id="rId4"/>
    <sheet name="Scenario Analysis" sheetId="7" r:id="rId5"/>
    <sheet name="Methods &amp; Definitions" sheetId="4" r:id="rId6"/>
    <sheet name="Scenario Summary " sheetId="13" r:id="rId7"/>
  </sheets>
  <definedNames>
    <definedName name="_xlnm._FilterDatabase" localSheetId="2" hidden="1">'Monthly Data'!$A$1:$X$130</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6" i="7" l="1"/>
  <c r="B15" i="7"/>
  <c r="B14" i="7"/>
  <c r="B13" i="7"/>
  <c r="B12" i="7"/>
  <c r="B11" i="7"/>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3" i="2"/>
  <c r="Q3"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2" i="2"/>
  <c r="S4" i="2"/>
  <c r="V4" i="2" s="1"/>
  <c r="S5" i="2"/>
  <c r="V5" i="2" s="1"/>
  <c r="S6" i="2"/>
  <c r="V6" i="2" s="1"/>
  <c r="S7" i="2"/>
  <c r="V7" i="2" s="1"/>
  <c r="S8" i="2"/>
  <c r="V8" i="2" s="1"/>
  <c r="S9" i="2"/>
  <c r="V9" i="2" s="1"/>
  <c r="S10" i="2"/>
  <c r="V10" i="2" s="1"/>
  <c r="S11" i="2"/>
  <c r="V11" i="2" s="1"/>
  <c r="S12" i="2"/>
  <c r="V12" i="2" s="1"/>
  <c r="S13" i="2"/>
  <c r="V13" i="2" s="1"/>
  <c r="S14" i="2"/>
  <c r="V14" i="2" s="1"/>
  <c r="S15" i="2"/>
  <c r="V15" i="2" s="1"/>
  <c r="S16" i="2"/>
  <c r="V16" i="2" s="1"/>
  <c r="S17" i="2"/>
  <c r="V17" i="2" s="1"/>
  <c r="S18" i="2"/>
  <c r="V18" i="2" s="1"/>
  <c r="S19" i="2"/>
  <c r="V19" i="2" s="1"/>
  <c r="S20" i="2"/>
  <c r="V20" i="2" s="1"/>
  <c r="S21" i="2"/>
  <c r="V21" i="2" s="1"/>
  <c r="S22" i="2"/>
  <c r="V22" i="2" s="1"/>
  <c r="S23" i="2"/>
  <c r="V23" i="2" s="1"/>
  <c r="S24" i="2"/>
  <c r="V24" i="2" s="1"/>
  <c r="S25" i="2"/>
  <c r="V25" i="2" s="1"/>
  <c r="S26" i="2"/>
  <c r="V26" i="2" s="1"/>
  <c r="S27" i="2"/>
  <c r="V27" i="2" s="1"/>
  <c r="S28" i="2"/>
  <c r="V28" i="2" s="1"/>
  <c r="S29" i="2"/>
  <c r="V29" i="2" s="1"/>
  <c r="S30" i="2"/>
  <c r="V30" i="2" s="1"/>
  <c r="S31" i="2"/>
  <c r="V31" i="2" s="1"/>
  <c r="S32" i="2"/>
  <c r="V32" i="2" s="1"/>
  <c r="S33" i="2"/>
  <c r="V33" i="2" s="1"/>
  <c r="S34" i="2"/>
  <c r="V34" i="2" s="1"/>
  <c r="S35" i="2"/>
  <c r="V35" i="2" s="1"/>
  <c r="S36" i="2"/>
  <c r="V36" i="2" s="1"/>
  <c r="S37" i="2"/>
  <c r="V37" i="2" s="1"/>
  <c r="S38" i="2"/>
  <c r="V38" i="2" s="1"/>
  <c r="S39" i="2"/>
  <c r="V39" i="2" s="1"/>
  <c r="S40" i="2"/>
  <c r="V40" i="2" s="1"/>
  <c r="S41" i="2"/>
  <c r="V41" i="2" s="1"/>
  <c r="S42" i="2"/>
  <c r="V42" i="2" s="1"/>
  <c r="S43" i="2"/>
  <c r="V43" i="2" s="1"/>
  <c r="S44" i="2"/>
  <c r="V44" i="2" s="1"/>
  <c r="S45" i="2"/>
  <c r="V45" i="2" s="1"/>
  <c r="S46" i="2"/>
  <c r="V46" i="2" s="1"/>
  <c r="S47" i="2"/>
  <c r="V47" i="2" s="1"/>
  <c r="S48" i="2"/>
  <c r="V48" i="2" s="1"/>
  <c r="S49" i="2"/>
  <c r="V49" i="2" s="1"/>
  <c r="S50" i="2"/>
  <c r="V50" i="2" s="1"/>
  <c r="S51" i="2"/>
  <c r="V51" i="2" s="1"/>
  <c r="S52" i="2"/>
  <c r="V52" i="2" s="1"/>
  <c r="S53" i="2"/>
  <c r="V53" i="2" s="1"/>
  <c r="S54" i="2"/>
  <c r="V54" i="2" s="1"/>
  <c r="S55" i="2"/>
  <c r="V55" i="2" s="1"/>
  <c r="S56" i="2"/>
  <c r="V56" i="2" s="1"/>
  <c r="S57" i="2"/>
  <c r="V57" i="2" s="1"/>
  <c r="S58" i="2"/>
  <c r="V58" i="2" s="1"/>
  <c r="S59" i="2"/>
  <c r="V59" i="2" s="1"/>
  <c r="S60" i="2"/>
  <c r="V60" i="2" s="1"/>
  <c r="S61" i="2"/>
  <c r="V61" i="2" s="1"/>
  <c r="S62" i="2"/>
  <c r="V62" i="2" s="1"/>
  <c r="S63" i="2"/>
  <c r="V63" i="2" s="1"/>
  <c r="S64" i="2"/>
  <c r="V64" i="2" s="1"/>
  <c r="S65" i="2"/>
  <c r="V65" i="2" s="1"/>
  <c r="S66" i="2"/>
  <c r="V66" i="2" s="1"/>
  <c r="S67" i="2"/>
  <c r="V67" i="2" s="1"/>
  <c r="S68" i="2"/>
  <c r="V68" i="2" s="1"/>
  <c r="S69" i="2"/>
  <c r="V69" i="2" s="1"/>
  <c r="S70" i="2"/>
  <c r="V70" i="2" s="1"/>
  <c r="S71" i="2"/>
  <c r="V71" i="2" s="1"/>
  <c r="S72" i="2"/>
  <c r="V72" i="2" s="1"/>
  <c r="S73" i="2"/>
  <c r="V73" i="2" s="1"/>
  <c r="S74" i="2"/>
  <c r="V74" i="2" s="1"/>
  <c r="S75" i="2"/>
  <c r="V75" i="2" s="1"/>
  <c r="S76" i="2"/>
  <c r="V76" i="2" s="1"/>
  <c r="S77" i="2"/>
  <c r="V77" i="2" s="1"/>
  <c r="S78" i="2"/>
  <c r="V78" i="2" s="1"/>
  <c r="S79" i="2"/>
  <c r="V79" i="2" s="1"/>
  <c r="S80" i="2"/>
  <c r="V80" i="2" s="1"/>
  <c r="S81" i="2"/>
  <c r="V81" i="2" s="1"/>
  <c r="S82" i="2"/>
  <c r="V82" i="2" s="1"/>
  <c r="S83" i="2"/>
  <c r="V83" i="2" s="1"/>
  <c r="S84" i="2"/>
  <c r="V84" i="2" s="1"/>
  <c r="S85" i="2"/>
  <c r="V85" i="2" s="1"/>
  <c r="S86" i="2"/>
  <c r="V86" i="2" s="1"/>
  <c r="S87" i="2"/>
  <c r="V87" i="2" s="1"/>
  <c r="S88" i="2"/>
  <c r="V88" i="2" s="1"/>
  <c r="S89" i="2"/>
  <c r="V89" i="2" s="1"/>
  <c r="S90" i="2"/>
  <c r="V90" i="2" s="1"/>
  <c r="S91" i="2"/>
  <c r="V91" i="2" s="1"/>
  <c r="S92" i="2"/>
  <c r="V92" i="2" s="1"/>
  <c r="S93" i="2"/>
  <c r="V93" i="2" s="1"/>
  <c r="S94" i="2"/>
  <c r="V94" i="2" s="1"/>
  <c r="S95" i="2"/>
  <c r="V95" i="2" s="1"/>
  <c r="S96" i="2"/>
  <c r="V96" i="2" s="1"/>
  <c r="S97" i="2"/>
  <c r="V97" i="2" s="1"/>
  <c r="S98" i="2"/>
  <c r="V98" i="2" s="1"/>
  <c r="S99" i="2"/>
  <c r="V99" i="2" s="1"/>
  <c r="S100" i="2"/>
  <c r="V100" i="2" s="1"/>
  <c r="S101" i="2"/>
  <c r="V101" i="2" s="1"/>
  <c r="S102" i="2"/>
  <c r="V102" i="2" s="1"/>
  <c r="S103" i="2"/>
  <c r="V103" i="2" s="1"/>
  <c r="S104" i="2"/>
  <c r="V104" i="2" s="1"/>
  <c r="S105" i="2"/>
  <c r="V105" i="2" s="1"/>
  <c r="S106" i="2"/>
  <c r="V106" i="2" s="1"/>
  <c r="S107" i="2"/>
  <c r="V107" i="2" s="1"/>
  <c r="S108" i="2"/>
  <c r="V108" i="2" s="1"/>
  <c r="S109" i="2"/>
  <c r="V109" i="2" s="1"/>
  <c r="S110" i="2"/>
  <c r="V110" i="2" s="1"/>
  <c r="S111" i="2"/>
  <c r="V111" i="2" s="1"/>
  <c r="S112" i="2"/>
  <c r="V112" i="2" s="1"/>
  <c r="S113" i="2"/>
  <c r="V113" i="2" s="1"/>
  <c r="S114" i="2"/>
  <c r="V114" i="2" s="1"/>
  <c r="S115" i="2"/>
  <c r="V115" i="2" s="1"/>
  <c r="S116" i="2"/>
  <c r="V116" i="2" s="1"/>
  <c r="S117" i="2"/>
  <c r="V117" i="2" s="1"/>
  <c r="S118" i="2"/>
  <c r="V118" i="2" s="1"/>
  <c r="S119" i="2"/>
  <c r="V119" i="2" s="1"/>
  <c r="S120" i="2"/>
  <c r="V120" i="2" s="1"/>
  <c r="S121" i="2"/>
  <c r="V121" i="2" s="1"/>
  <c r="S122" i="2"/>
  <c r="V122" i="2" s="1"/>
  <c r="S123" i="2"/>
  <c r="V123" i="2" s="1"/>
  <c r="S124" i="2"/>
  <c r="V124" i="2" s="1"/>
  <c r="S125" i="2"/>
  <c r="V125" i="2" s="1"/>
  <c r="S126" i="2"/>
  <c r="V126" i="2" s="1"/>
  <c r="S127" i="2"/>
  <c r="V127" i="2" s="1"/>
  <c r="S128" i="2"/>
  <c r="V128" i="2" s="1"/>
  <c r="S129" i="2"/>
  <c r="V129" i="2" s="1"/>
  <c r="S130" i="2"/>
  <c r="V130" i="2" s="1"/>
  <c r="S3" i="2"/>
  <c r="V3" i="2" s="1"/>
  <c r="B13" i="3"/>
  <c r="B12" i="3"/>
  <c r="C4" i="3"/>
  <c r="B4" i="3"/>
  <c r="B5" i="3" a="1"/>
  <c r="B5" i="3" s="1"/>
  <c r="C5" i="3"/>
  <c r="T130" i="2"/>
  <c r="W130" i="2" s="1"/>
  <c r="Q130" i="2"/>
  <c r="O130" i="2"/>
  <c r="M130" i="2"/>
  <c r="L130" i="2"/>
  <c r="K130" i="2"/>
  <c r="J130" i="2"/>
  <c r="I130" i="2"/>
  <c r="T129" i="2"/>
  <c r="W129" i="2" s="1"/>
  <c r="Q129" i="2"/>
  <c r="O129" i="2"/>
  <c r="M129" i="2"/>
  <c r="L129" i="2"/>
  <c r="K129" i="2"/>
  <c r="J129" i="2"/>
  <c r="I129" i="2"/>
  <c r="T128" i="2"/>
  <c r="W128" i="2" s="1"/>
  <c r="Q128" i="2"/>
  <c r="O128" i="2"/>
  <c r="M128" i="2"/>
  <c r="L128" i="2"/>
  <c r="K128" i="2"/>
  <c r="J128" i="2"/>
  <c r="I128" i="2"/>
  <c r="T127" i="2"/>
  <c r="W127" i="2" s="1"/>
  <c r="Q127" i="2"/>
  <c r="O127" i="2"/>
  <c r="M127" i="2"/>
  <c r="L127" i="2"/>
  <c r="K127" i="2"/>
  <c r="J127" i="2"/>
  <c r="I127" i="2"/>
  <c r="T126" i="2"/>
  <c r="W126" i="2" s="1"/>
  <c r="Q126" i="2"/>
  <c r="O126" i="2"/>
  <c r="M126" i="2"/>
  <c r="L126" i="2"/>
  <c r="K126" i="2"/>
  <c r="J126" i="2"/>
  <c r="I126" i="2"/>
  <c r="T125" i="2"/>
  <c r="W125" i="2" s="1"/>
  <c r="Q125" i="2"/>
  <c r="O125" i="2"/>
  <c r="M125" i="2"/>
  <c r="L125" i="2"/>
  <c r="K125" i="2"/>
  <c r="J125" i="2"/>
  <c r="I125" i="2"/>
  <c r="T124" i="2"/>
  <c r="W124" i="2" s="1"/>
  <c r="Q124" i="2"/>
  <c r="O124" i="2"/>
  <c r="M124" i="2"/>
  <c r="L124" i="2"/>
  <c r="K124" i="2"/>
  <c r="J124" i="2"/>
  <c r="I124" i="2"/>
  <c r="T123" i="2"/>
  <c r="W123" i="2" s="1"/>
  <c r="Q123" i="2"/>
  <c r="O123" i="2"/>
  <c r="M123" i="2"/>
  <c r="L123" i="2"/>
  <c r="K123" i="2"/>
  <c r="J123" i="2"/>
  <c r="I123" i="2"/>
  <c r="T122" i="2"/>
  <c r="W122" i="2" s="1"/>
  <c r="Q122" i="2"/>
  <c r="O122" i="2"/>
  <c r="M122" i="2"/>
  <c r="L122" i="2"/>
  <c r="K122" i="2"/>
  <c r="J122" i="2"/>
  <c r="I122" i="2"/>
  <c r="T121" i="2"/>
  <c r="W121" i="2" s="1"/>
  <c r="Q121" i="2"/>
  <c r="O121" i="2"/>
  <c r="M121" i="2"/>
  <c r="L121" i="2"/>
  <c r="K121" i="2"/>
  <c r="J121" i="2"/>
  <c r="I121" i="2"/>
  <c r="T120" i="2"/>
  <c r="W120" i="2" s="1"/>
  <c r="Q120" i="2"/>
  <c r="O120" i="2"/>
  <c r="M120" i="2"/>
  <c r="L120" i="2"/>
  <c r="K120" i="2"/>
  <c r="J120" i="2"/>
  <c r="I120" i="2"/>
  <c r="T119" i="2"/>
  <c r="W119" i="2" s="1"/>
  <c r="Q119" i="2"/>
  <c r="O119" i="2"/>
  <c r="M119" i="2"/>
  <c r="L119" i="2"/>
  <c r="K119" i="2"/>
  <c r="J119" i="2"/>
  <c r="I119" i="2"/>
  <c r="T118" i="2"/>
  <c r="W118" i="2" s="1"/>
  <c r="Q118" i="2"/>
  <c r="O118" i="2"/>
  <c r="M118" i="2"/>
  <c r="L118" i="2"/>
  <c r="K118" i="2"/>
  <c r="J118" i="2"/>
  <c r="I118" i="2"/>
  <c r="T117" i="2"/>
  <c r="W117" i="2" s="1"/>
  <c r="Q117" i="2"/>
  <c r="O117" i="2"/>
  <c r="M117" i="2"/>
  <c r="L117" i="2"/>
  <c r="K117" i="2"/>
  <c r="J117" i="2"/>
  <c r="I117" i="2"/>
  <c r="T116" i="2"/>
  <c r="W116" i="2" s="1"/>
  <c r="Q116" i="2"/>
  <c r="O116" i="2"/>
  <c r="M116" i="2"/>
  <c r="L116" i="2"/>
  <c r="K116" i="2"/>
  <c r="J116" i="2"/>
  <c r="I116" i="2"/>
  <c r="T115" i="2"/>
  <c r="W115" i="2" s="1"/>
  <c r="Q115" i="2"/>
  <c r="O115" i="2"/>
  <c r="M115" i="2"/>
  <c r="L115" i="2"/>
  <c r="K115" i="2"/>
  <c r="J115" i="2"/>
  <c r="I115" i="2"/>
  <c r="T114" i="2"/>
  <c r="W114" i="2" s="1"/>
  <c r="Q114" i="2"/>
  <c r="O114" i="2"/>
  <c r="M114" i="2"/>
  <c r="L114" i="2"/>
  <c r="K114" i="2"/>
  <c r="J114" i="2"/>
  <c r="I114" i="2"/>
  <c r="T113" i="2"/>
  <c r="W113" i="2" s="1"/>
  <c r="Q113" i="2"/>
  <c r="O113" i="2"/>
  <c r="M113" i="2"/>
  <c r="L113" i="2"/>
  <c r="K113" i="2"/>
  <c r="J113" i="2"/>
  <c r="I113" i="2"/>
  <c r="T112" i="2"/>
  <c r="W112" i="2" s="1"/>
  <c r="Q112" i="2"/>
  <c r="O112" i="2"/>
  <c r="M112" i="2"/>
  <c r="L112" i="2"/>
  <c r="K112" i="2"/>
  <c r="J112" i="2"/>
  <c r="I112" i="2"/>
  <c r="T111" i="2"/>
  <c r="W111" i="2" s="1"/>
  <c r="Q111" i="2"/>
  <c r="O111" i="2"/>
  <c r="M111" i="2"/>
  <c r="L111" i="2"/>
  <c r="K111" i="2"/>
  <c r="J111" i="2"/>
  <c r="I111" i="2"/>
  <c r="T110" i="2"/>
  <c r="W110" i="2" s="1"/>
  <c r="Q110" i="2"/>
  <c r="O110" i="2"/>
  <c r="M110" i="2"/>
  <c r="L110" i="2"/>
  <c r="K110" i="2"/>
  <c r="J110" i="2"/>
  <c r="I110" i="2"/>
  <c r="T109" i="2"/>
  <c r="W109" i="2" s="1"/>
  <c r="Q109" i="2"/>
  <c r="O109" i="2"/>
  <c r="M109" i="2"/>
  <c r="L109" i="2"/>
  <c r="K109" i="2"/>
  <c r="J109" i="2"/>
  <c r="I109" i="2"/>
  <c r="T108" i="2"/>
  <c r="W108" i="2" s="1"/>
  <c r="Q108" i="2"/>
  <c r="O108" i="2"/>
  <c r="M108" i="2"/>
  <c r="L108" i="2"/>
  <c r="K108" i="2"/>
  <c r="J108" i="2"/>
  <c r="I108" i="2"/>
  <c r="T107" i="2"/>
  <c r="W107" i="2" s="1"/>
  <c r="Q107" i="2"/>
  <c r="O107" i="2"/>
  <c r="M107" i="2"/>
  <c r="L107" i="2"/>
  <c r="K107" i="2"/>
  <c r="J107" i="2"/>
  <c r="I107" i="2"/>
  <c r="T106" i="2"/>
  <c r="W106" i="2" s="1"/>
  <c r="Q106" i="2"/>
  <c r="O106" i="2"/>
  <c r="M106" i="2"/>
  <c r="L106" i="2"/>
  <c r="K106" i="2"/>
  <c r="J106" i="2"/>
  <c r="I106" i="2"/>
  <c r="T105" i="2"/>
  <c r="W105" i="2" s="1"/>
  <c r="Q105" i="2"/>
  <c r="O105" i="2"/>
  <c r="M105" i="2"/>
  <c r="L105" i="2"/>
  <c r="K105" i="2"/>
  <c r="J105" i="2"/>
  <c r="I105" i="2"/>
  <c r="T104" i="2"/>
  <c r="W104" i="2" s="1"/>
  <c r="Q104" i="2"/>
  <c r="O104" i="2"/>
  <c r="M104" i="2"/>
  <c r="L104" i="2"/>
  <c r="K104" i="2"/>
  <c r="J104" i="2"/>
  <c r="I104" i="2"/>
  <c r="T103" i="2"/>
  <c r="W103" i="2" s="1"/>
  <c r="Q103" i="2"/>
  <c r="O103" i="2"/>
  <c r="M103" i="2"/>
  <c r="L103" i="2"/>
  <c r="K103" i="2"/>
  <c r="J103" i="2"/>
  <c r="I103" i="2"/>
  <c r="T102" i="2"/>
  <c r="W102" i="2" s="1"/>
  <c r="Q102" i="2"/>
  <c r="O102" i="2"/>
  <c r="M102" i="2"/>
  <c r="L102" i="2"/>
  <c r="K102" i="2"/>
  <c r="J102" i="2"/>
  <c r="I102" i="2"/>
  <c r="T101" i="2"/>
  <c r="W101" i="2" s="1"/>
  <c r="Q101" i="2"/>
  <c r="O101" i="2"/>
  <c r="M101" i="2"/>
  <c r="L101" i="2"/>
  <c r="K101" i="2"/>
  <c r="J101" i="2"/>
  <c r="I101" i="2"/>
  <c r="T100" i="2"/>
  <c r="W100" i="2" s="1"/>
  <c r="Q100" i="2"/>
  <c r="O100" i="2"/>
  <c r="M100" i="2"/>
  <c r="L100" i="2"/>
  <c r="K100" i="2"/>
  <c r="J100" i="2"/>
  <c r="I100" i="2"/>
  <c r="T99" i="2"/>
  <c r="W99" i="2" s="1"/>
  <c r="Q99" i="2"/>
  <c r="O99" i="2"/>
  <c r="M99" i="2"/>
  <c r="L99" i="2"/>
  <c r="K99" i="2"/>
  <c r="J99" i="2"/>
  <c r="I99" i="2"/>
  <c r="T98" i="2"/>
  <c r="W98" i="2" s="1"/>
  <c r="Q98" i="2"/>
  <c r="O98" i="2"/>
  <c r="M98" i="2"/>
  <c r="L98" i="2"/>
  <c r="K98" i="2"/>
  <c r="J98" i="2"/>
  <c r="I98" i="2"/>
  <c r="T97" i="2"/>
  <c r="W97" i="2" s="1"/>
  <c r="Q97" i="2"/>
  <c r="O97" i="2"/>
  <c r="M97" i="2"/>
  <c r="L97" i="2"/>
  <c r="K97" i="2"/>
  <c r="J97" i="2"/>
  <c r="I97" i="2"/>
  <c r="T96" i="2"/>
  <c r="W96" i="2" s="1"/>
  <c r="Q96" i="2"/>
  <c r="O96" i="2"/>
  <c r="M96" i="2"/>
  <c r="L96" i="2"/>
  <c r="K96" i="2"/>
  <c r="J96" i="2"/>
  <c r="I96" i="2"/>
  <c r="T95" i="2"/>
  <c r="W95" i="2" s="1"/>
  <c r="Q95" i="2"/>
  <c r="O95" i="2"/>
  <c r="M95" i="2"/>
  <c r="L95" i="2"/>
  <c r="K95" i="2"/>
  <c r="J95" i="2"/>
  <c r="I95" i="2"/>
  <c r="T94" i="2"/>
  <c r="W94" i="2" s="1"/>
  <c r="Q94" i="2"/>
  <c r="O94" i="2"/>
  <c r="M94" i="2"/>
  <c r="L94" i="2"/>
  <c r="K94" i="2"/>
  <c r="J94" i="2"/>
  <c r="I94" i="2"/>
  <c r="T93" i="2"/>
  <c r="W93" i="2" s="1"/>
  <c r="Q93" i="2"/>
  <c r="O93" i="2"/>
  <c r="M93" i="2"/>
  <c r="L93" i="2"/>
  <c r="K93" i="2"/>
  <c r="J93" i="2"/>
  <c r="I93" i="2"/>
  <c r="T92" i="2"/>
  <c r="W92" i="2" s="1"/>
  <c r="Q92" i="2"/>
  <c r="O92" i="2"/>
  <c r="M92" i="2"/>
  <c r="L92" i="2"/>
  <c r="K92" i="2"/>
  <c r="J92" i="2"/>
  <c r="I92" i="2"/>
  <c r="T91" i="2"/>
  <c r="W91" i="2" s="1"/>
  <c r="Q91" i="2"/>
  <c r="O91" i="2"/>
  <c r="M91" i="2"/>
  <c r="L91" i="2"/>
  <c r="K91" i="2"/>
  <c r="J91" i="2"/>
  <c r="I91" i="2"/>
  <c r="T90" i="2"/>
  <c r="W90" i="2" s="1"/>
  <c r="Q90" i="2"/>
  <c r="O90" i="2"/>
  <c r="M90" i="2"/>
  <c r="L90" i="2"/>
  <c r="K90" i="2"/>
  <c r="J90" i="2"/>
  <c r="I90" i="2"/>
  <c r="T89" i="2"/>
  <c r="W89" i="2" s="1"/>
  <c r="Q89" i="2"/>
  <c r="O89" i="2"/>
  <c r="M89" i="2"/>
  <c r="L89" i="2"/>
  <c r="K89" i="2"/>
  <c r="J89" i="2"/>
  <c r="I89" i="2"/>
  <c r="T88" i="2"/>
  <c r="W88" i="2" s="1"/>
  <c r="Q88" i="2"/>
  <c r="O88" i="2"/>
  <c r="M88" i="2"/>
  <c r="L88" i="2"/>
  <c r="K88" i="2"/>
  <c r="J88" i="2"/>
  <c r="I88" i="2"/>
  <c r="T87" i="2"/>
  <c r="W87" i="2" s="1"/>
  <c r="Q87" i="2"/>
  <c r="O87" i="2"/>
  <c r="M87" i="2"/>
  <c r="L87" i="2"/>
  <c r="K87" i="2"/>
  <c r="J87" i="2"/>
  <c r="I87" i="2"/>
  <c r="T86" i="2"/>
  <c r="W86" i="2" s="1"/>
  <c r="Q86" i="2"/>
  <c r="O86" i="2"/>
  <c r="M86" i="2"/>
  <c r="L86" i="2"/>
  <c r="K86" i="2"/>
  <c r="J86" i="2"/>
  <c r="I86" i="2"/>
  <c r="T85" i="2"/>
  <c r="W85" i="2" s="1"/>
  <c r="Q85" i="2"/>
  <c r="O85" i="2"/>
  <c r="M85" i="2"/>
  <c r="L85" i="2"/>
  <c r="K85" i="2"/>
  <c r="J85" i="2"/>
  <c r="I85" i="2"/>
  <c r="T84" i="2"/>
  <c r="W84" i="2" s="1"/>
  <c r="Q84" i="2"/>
  <c r="O84" i="2"/>
  <c r="M84" i="2"/>
  <c r="L84" i="2"/>
  <c r="K84" i="2"/>
  <c r="J84" i="2"/>
  <c r="I84" i="2"/>
  <c r="T83" i="2"/>
  <c r="W83" i="2" s="1"/>
  <c r="Q83" i="2"/>
  <c r="O83" i="2"/>
  <c r="M83" i="2"/>
  <c r="L83" i="2"/>
  <c r="K83" i="2"/>
  <c r="J83" i="2"/>
  <c r="I83" i="2"/>
  <c r="T82" i="2"/>
  <c r="W82" i="2" s="1"/>
  <c r="Q82" i="2"/>
  <c r="O82" i="2"/>
  <c r="M82" i="2"/>
  <c r="L82" i="2"/>
  <c r="K82" i="2"/>
  <c r="J82" i="2"/>
  <c r="I82" i="2"/>
  <c r="T81" i="2"/>
  <c r="W81" i="2" s="1"/>
  <c r="Q81" i="2"/>
  <c r="O81" i="2"/>
  <c r="M81" i="2"/>
  <c r="L81" i="2"/>
  <c r="K81" i="2"/>
  <c r="J81" i="2"/>
  <c r="I81" i="2"/>
  <c r="T80" i="2"/>
  <c r="W80" i="2" s="1"/>
  <c r="Q80" i="2"/>
  <c r="O80" i="2"/>
  <c r="M80" i="2"/>
  <c r="L80" i="2"/>
  <c r="K80" i="2"/>
  <c r="J80" i="2"/>
  <c r="I80" i="2"/>
  <c r="T79" i="2"/>
  <c r="W79" i="2" s="1"/>
  <c r="Q79" i="2"/>
  <c r="O79" i="2"/>
  <c r="M79" i="2"/>
  <c r="L79" i="2"/>
  <c r="K79" i="2"/>
  <c r="J79" i="2"/>
  <c r="I79" i="2"/>
  <c r="T78" i="2"/>
  <c r="W78" i="2" s="1"/>
  <c r="Q78" i="2"/>
  <c r="O78" i="2"/>
  <c r="M78" i="2"/>
  <c r="L78" i="2"/>
  <c r="K78" i="2"/>
  <c r="J78" i="2"/>
  <c r="I78" i="2"/>
  <c r="T77" i="2"/>
  <c r="W77" i="2" s="1"/>
  <c r="Q77" i="2"/>
  <c r="O77" i="2"/>
  <c r="M77" i="2"/>
  <c r="L77" i="2"/>
  <c r="K77" i="2"/>
  <c r="J77" i="2"/>
  <c r="I77" i="2"/>
  <c r="T76" i="2"/>
  <c r="W76" i="2" s="1"/>
  <c r="Q76" i="2"/>
  <c r="O76" i="2"/>
  <c r="M76" i="2"/>
  <c r="L76" i="2"/>
  <c r="K76" i="2"/>
  <c r="J76" i="2"/>
  <c r="I76" i="2"/>
  <c r="T75" i="2"/>
  <c r="W75" i="2" s="1"/>
  <c r="Q75" i="2"/>
  <c r="O75" i="2"/>
  <c r="M75" i="2"/>
  <c r="L75" i="2"/>
  <c r="K75" i="2"/>
  <c r="J75" i="2"/>
  <c r="I75" i="2"/>
  <c r="T74" i="2"/>
  <c r="W74" i="2" s="1"/>
  <c r="Q74" i="2"/>
  <c r="O74" i="2"/>
  <c r="M74" i="2"/>
  <c r="L74" i="2"/>
  <c r="K74" i="2"/>
  <c r="J74" i="2"/>
  <c r="I74" i="2"/>
  <c r="T73" i="2"/>
  <c r="W73" i="2" s="1"/>
  <c r="Q73" i="2"/>
  <c r="O73" i="2"/>
  <c r="M73" i="2"/>
  <c r="L73" i="2"/>
  <c r="K73" i="2"/>
  <c r="J73" i="2"/>
  <c r="I73" i="2"/>
  <c r="T72" i="2"/>
  <c r="W72" i="2" s="1"/>
  <c r="Q72" i="2"/>
  <c r="O72" i="2"/>
  <c r="M72" i="2"/>
  <c r="L72" i="2"/>
  <c r="K72" i="2"/>
  <c r="J72" i="2"/>
  <c r="I72" i="2"/>
  <c r="T71" i="2"/>
  <c r="W71" i="2" s="1"/>
  <c r="Q71" i="2"/>
  <c r="O71" i="2"/>
  <c r="M71" i="2"/>
  <c r="L71" i="2"/>
  <c r="K71" i="2"/>
  <c r="J71" i="2"/>
  <c r="I71" i="2"/>
  <c r="T70" i="2"/>
  <c r="W70" i="2" s="1"/>
  <c r="Q70" i="2"/>
  <c r="O70" i="2"/>
  <c r="M70" i="2"/>
  <c r="L70" i="2"/>
  <c r="K70" i="2"/>
  <c r="J70" i="2"/>
  <c r="I70" i="2"/>
  <c r="T69" i="2"/>
  <c r="W69" i="2" s="1"/>
  <c r="Q69" i="2"/>
  <c r="O69" i="2"/>
  <c r="M69" i="2"/>
  <c r="L69" i="2"/>
  <c r="K69" i="2"/>
  <c r="J69" i="2"/>
  <c r="I69" i="2"/>
  <c r="T68" i="2"/>
  <c r="W68" i="2" s="1"/>
  <c r="Q68" i="2"/>
  <c r="O68" i="2"/>
  <c r="M68" i="2"/>
  <c r="L68" i="2"/>
  <c r="K68" i="2"/>
  <c r="J68" i="2"/>
  <c r="I68" i="2"/>
  <c r="T67" i="2"/>
  <c r="W67" i="2" s="1"/>
  <c r="Q67" i="2"/>
  <c r="O67" i="2"/>
  <c r="M67" i="2"/>
  <c r="L67" i="2"/>
  <c r="K67" i="2"/>
  <c r="J67" i="2"/>
  <c r="I67" i="2"/>
  <c r="T66" i="2"/>
  <c r="W66" i="2" s="1"/>
  <c r="Q66" i="2"/>
  <c r="O66" i="2"/>
  <c r="M66" i="2"/>
  <c r="L66" i="2"/>
  <c r="K66" i="2"/>
  <c r="J66" i="2"/>
  <c r="I66" i="2"/>
  <c r="T65" i="2"/>
  <c r="W65" i="2" s="1"/>
  <c r="Q65" i="2"/>
  <c r="O65" i="2"/>
  <c r="M65" i="2"/>
  <c r="L65" i="2"/>
  <c r="K65" i="2"/>
  <c r="J65" i="2"/>
  <c r="I65" i="2"/>
  <c r="T64" i="2"/>
  <c r="W64" i="2" s="1"/>
  <c r="Q64" i="2"/>
  <c r="O64" i="2"/>
  <c r="M64" i="2"/>
  <c r="L64" i="2"/>
  <c r="K64" i="2"/>
  <c r="J64" i="2"/>
  <c r="I64" i="2"/>
  <c r="T63" i="2"/>
  <c r="W63" i="2" s="1"/>
  <c r="Q63" i="2"/>
  <c r="O63" i="2"/>
  <c r="M63" i="2"/>
  <c r="L63" i="2"/>
  <c r="K63" i="2"/>
  <c r="J63" i="2"/>
  <c r="I63" i="2"/>
  <c r="T62" i="2"/>
  <c r="W62" i="2" s="1"/>
  <c r="Q62" i="2"/>
  <c r="O62" i="2"/>
  <c r="M62" i="2"/>
  <c r="L62" i="2"/>
  <c r="K62" i="2"/>
  <c r="J62" i="2"/>
  <c r="I62" i="2"/>
  <c r="T61" i="2"/>
  <c r="W61" i="2" s="1"/>
  <c r="Q61" i="2"/>
  <c r="O61" i="2"/>
  <c r="M61" i="2"/>
  <c r="L61" i="2"/>
  <c r="K61" i="2"/>
  <c r="J61" i="2"/>
  <c r="I61" i="2"/>
  <c r="T60" i="2"/>
  <c r="W60" i="2" s="1"/>
  <c r="Q60" i="2"/>
  <c r="O60" i="2"/>
  <c r="M60" i="2"/>
  <c r="L60" i="2"/>
  <c r="K60" i="2"/>
  <c r="J60" i="2"/>
  <c r="I60" i="2"/>
  <c r="T59" i="2"/>
  <c r="W59" i="2" s="1"/>
  <c r="Q59" i="2"/>
  <c r="O59" i="2"/>
  <c r="M59" i="2"/>
  <c r="L59" i="2"/>
  <c r="K59" i="2"/>
  <c r="J59" i="2"/>
  <c r="I59" i="2"/>
  <c r="T58" i="2"/>
  <c r="W58" i="2" s="1"/>
  <c r="Q58" i="2"/>
  <c r="O58" i="2"/>
  <c r="M58" i="2"/>
  <c r="L58" i="2"/>
  <c r="K58" i="2"/>
  <c r="J58" i="2"/>
  <c r="I58" i="2"/>
  <c r="T57" i="2"/>
  <c r="W57" i="2" s="1"/>
  <c r="Q57" i="2"/>
  <c r="O57" i="2"/>
  <c r="M57" i="2"/>
  <c r="L57" i="2"/>
  <c r="K57" i="2"/>
  <c r="J57" i="2"/>
  <c r="I57" i="2"/>
  <c r="T56" i="2"/>
  <c r="W56" i="2" s="1"/>
  <c r="Q56" i="2"/>
  <c r="O56" i="2"/>
  <c r="M56" i="2"/>
  <c r="L56" i="2"/>
  <c r="K56" i="2"/>
  <c r="J56" i="2"/>
  <c r="I56" i="2"/>
  <c r="T55" i="2"/>
  <c r="W55" i="2" s="1"/>
  <c r="Q55" i="2"/>
  <c r="O55" i="2"/>
  <c r="M55" i="2"/>
  <c r="L55" i="2"/>
  <c r="K55" i="2"/>
  <c r="J55" i="2"/>
  <c r="I55" i="2"/>
  <c r="T54" i="2"/>
  <c r="W54" i="2" s="1"/>
  <c r="Q54" i="2"/>
  <c r="O54" i="2"/>
  <c r="M54" i="2"/>
  <c r="L54" i="2"/>
  <c r="K54" i="2"/>
  <c r="J54" i="2"/>
  <c r="I54" i="2"/>
  <c r="T53" i="2"/>
  <c r="W53" i="2" s="1"/>
  <c r="Q53" i="2"/>
  <c r="O53" i="2"/>
  <c r="M53" i="2"/>
  <c r="L53" i="2"/>
  <c r="K53" i="2"/>
  <c r="J53" i="2"/>
  <c r="I53" i="2"/>
  <c r="T52" i="2"/>
  <c r="W52" i="2" s="1"/>
  <c r="Q52" i="2"/>
  <c r="O52" i="2"/>
  <c r="M52" i="2"/>
  <c r="L52" i="2"/>
  <c r="K52" i="2"/>
  <c r="J52" i="2"/>
  <c r="I52" i="2"/>
  <c r="T51" i="2"/>
  <c r="W51" i="2" s="1"/>
  <c r="Q51" i="2"/>
  <c r="O51" i="2"/>
  <c r="M51" i="2"/>
  <c r="L51" i="2"/>
  <c r="K51" i="2"/>
  <c r="J51" i="2"/>
  <c r="I51" i="2"/>
  <c r="T50" i="2"/>
  <c r="W50" i="2" s="1"/>
  <c r="Q50" i="2"/>
  <c r="O50" i="2"/>
  <c r="M50" i="2"/>
  <c r="L50" i="2"/>
  <c r="K50" i="2"/>
  <c r="J50" i="2"/>
  <c r="I50" i="2"/>
  <c r="T49" i="2"/>
  <c r="W49" i="2" s="1"/>
  <c r="Q49" i="2"/>
  <c r="O49" i="2"/>
  <c r="M49" i="2"/>
  <c r="L49" i="2"/>
  <c r="K49" i="2"/>
  <c r="J49" i="2"/>
  <c r="I49" i="2"/>
  <c r="T48" i="2"/>
  <c r="W48" i="2" s="1"/>
  <c r="Q48" i="2"/>
  <c r="O48" i="2"/>
  <c r="M48" i="2"/>
  <c r="L48" i="2"/>
  <c r="K48" i="2"/>
  <c r="J48" i="2"/>
  <c r="I48" i="2"/>
  <c r="T47" i="2"/>
  <c r="W47" i="2" s="1"/>
  <c r="Q47" i="2"/>
  <c r="O47" i="2"/>
  <c r="M47" i="2"/>
  <c r="L47" i="2"/>
  <c r="K47" i="2"/>
  <c r="J47" i="2"/>
  <c r="I47" i="2"/>
  <c r="T46" i="2"/>
  <c r="W46" i="2" s="1"/>
  <c r="Q46" i="2"/>
  <c r="O46" i="2"/>
  <c r="M46" i="2"/>
  <c r="L46" i="2"/>
  <c r="K46" i="2"/>
  <c r="J46" i="2"/>
  <c r="I46" i="2"/>
  <c r="T45" i="2"/>
  <c r="W45" i="2" s="1"/>
  <c r="Q45" i="2"/>
  <c r="O45" i="2"/>
  <c r="M45" i="2"/>
  <c r="L45" i="2"/>
  <c r="K45" i="2"/>
  <c r="J45" i="2"/>
  <c r="I45" i="2"/>
  <c r="T44" i="2"/>
  <c r="W44" i="2" s="1"/>
  <c r="Q44" i="2"/>
  <c r="O44" i="2"/>
  <c r="M44" i="2"/>
  <c r="L44" i="2"/>
  <c r="K44" i="2"/>
  <c r="J44" i="2"/>
  <c r="I44" i="2"/>
  <c r="T43" i="2"/>
  <c r="W43" i="2" s="1"/>
  <c r="Q43" i="2"/>
  <c r="O43" i="2"/>
  <c r="M43" i="2"/>
  <c r="L43" i="2"/>
  <c r="K43" i="2"/>
  <c r="J43" i="2"/>
  <c r="I43" i="2"/>
  <c r="T42" i="2"/>
  <c r="W42" i="2" s="1"/>
  <c r="Q42" i="2"/>
  <c r="O42" i="2"/>
  <c r="M42" i="2"/>
  <c r="L42" i="2"/>
  <c r="K42" i="2"/>
  <c r="J42" i="2"/>
  <c r="I42" i="2"/>
  <c r="T41" i="2"/>
  <c r="W41" i="2" s="1"/>
  <c r="Q41" i="2"/>
  <c r="O41" i="2"/>
  <c r="M41" i="2"/>
  <c r="L41" i="2"/>
  <c r="K41" i="2"/>
  <c r="J41" i="2"/>
  <c r="I41" i="2"/>
  <c r="T40" i="2"/>
  <c r="W40" i="2" s="1"/>
  <c r="Q40" i="2"/>
  <c r="O40" i="2"/>
  <c r="M40" i="2"/>
  <c r="L40" i="2"/>
  <c r="K40" i="2"/>
  <c r="J40" i="2"/>
  <c r="I40" i="2"/>
  <c r="T39" i="2"/>
  <c r="W39" i="2" s="1"/>
  <c r="Q39" i="2"/>
  <c r="O39" i="2"/>
  <c r="M39" i="2"/>
  <c r="L39" i="2"/>
  <c r="K39" i="2"/>
  <c r="J39" i="2"/>
  <c r="I39" i="2"/>
  <c r="T38" i="2"/>
  <c r="W38" i="2" s="1"/>
  <c r="Q38" i="2"/>
  <c r="O38" i="2"/>
  <c r="M38" i="2"/>
  <c r="L38" i="2"/>
  <c r="K38" i="2"/>
  <c r="J38" i="2"/>
  <c r="I38" i="2"/>
  <c r="T37" i="2"/>
  <c r="W37" i="2" s="1"/>
  <c r="Q37" i="2"/>
  <c r="O37" i="2"/>
  <c r="M37" i="2"/>
  <c r="L37" i="2"/>
  <c r="K37" i="2"/>
  <c r="J37" i="2"/>
  <c r="I37" i="2"/>
  <c r="T36" i="2"/>
  <c r="W36" i="2" s="1"/>
  <c r="Q36" i="2"/>
  <c r="O36" i="2"/>
  <c r="M36" i="2"/>
  <c r="L36" i="2"/>
  <c r="K36" i="2"/>
  <c r="J36" i="2"/>
  <c r="I36" i="2"/>
  <c r="T35" i="2"/>
  <c r="W35" i="2" s="1"/>
  <c r="Q35" i="2"/>
  <c r="O35" i="2"/>
  <c r="M35" i="2"/>
  <c r="L35" i="2"/>
  <c r="K35" i="2"/>
  <c r="J35" i="2"/>
  <c r="I35" i="2"/>
  <c r="T34" i="2"/>
  <c r="W34" i="2" s="1"/>
  <c r="Q34" i="2"/>
  <c r="O34" i="2"/>
  <c r="M34" i="2"/>
  <c r="L34" i="2"/>
  <c r="K34" i="2"/>
  <c r="J34" i="2"/>
  <c r="I34" i="2"/>
  <c r="T33" i="2"/>
  <c r="W33" i="2" s="1"/>
  <c r="Q33" i="2"/>
  <c r="O33" i="2"/>
  <c r="M33" i="2"/>
  <c r="L33" i="2"/>
  <c r="K33" i="2"/>
  <c r="J33" i="2"/>
  <c r="I33" i="2"/>
  <c r="T32" i="2"/>
  <c r="W32" i="2" s="1"/>
  <c r="Q32" i="2"/>
  <c r="O32" i="2"/>
  <c r="M32" i="2"/>
  <c r="L32" i="2"/>
  <c r="K32" i="2"/>
  <c r="J32" i="2"/>
  <c r="I32" i="2"/>
  <c r="T31" i="2"/>
  <c r="W31" i="2" s="1"/>
  <c r="Q31" i="2"/>
  <c r="O31" i="2"/>
  <c r="M31" i="2"/>
  <c r="L31" i="2"/>
  <c r="K31" i="2"/>
  <c r="J31" i="2"/>
  <c r="I31" i="2"/>
  <c r="T30" i="2"/>
  <c r="W30" i="2" s="1"/>
  <c r="Q30" i="2"/>
  <c r="O30" i="2"/>
  <c r="M30" i="2"/>
  <c r="L30" i="2"/>
  <c r="K30" i="2"/>
  <c r="J30" i="2"/>
  <c r="I30" i="2"/>
  <c r="T29" i="2"/>
  <c r="W29" i="2" s="1"/>
  <c r="Q29" i="2"/>
  <c r="O29" i="2"/>
  <c r="M29" i="2"/>
  <c r="L29" i="2"/>
  <c r="K29" i="2"/>
  <c r="J29" i="2"/>
  <c r="I29" i="2"/>
  <c r="T28" i="2"/>
  <c r="W28" i="2" s="1"/>
  <c r="Q28" i="2"/>
  <c r="O28" i="2"/>
  <c r="M28" i="2"/>
  <c r="L28" i="2"/>
  <c r="K28" i="2"/>
  <c r="J28" i="2"/>
  <c r="I28" i="2"/>
  <c r="T27" i="2"/>
  <c r="W27" i="2" s="1"/>
  <c r="Q27" i="2"/>
  <c r="O27" i="2"/>
  <c r="M27" i="2"/>
  <c r="L27" i="2"/>
  <c r="K27" i="2"/>
  <c r="J27" i="2"/>
  <c r="I27" i="2"/>
  <c r="T26" i="2"/>
  <c r="W26" i="2" s="1"/>
  <c r="Q26" i="2"/>
  <c r="O26" i="2"/>
  <c r="M26" i="2"/>
  <c r="L26" i="2"/>
  <c r="K26" i="2"/>
  <c r="J26" i="2"/>
  <c r="I26" i="2"/>
  <c r="T25" i="2"/>
  <c r="W25" i="2" s="1"/>
  <c r="Q25" i="2"/>
  <c r="O25" i="2"/>
  <c r="M25" i="2"/>
  <c r="L25" i="2"/>
  <c r="K25" i="2"/>
  <c r="J25" i="2"/>
  <c r="I25" i="2"/>
  <c r="T24" i="2"/>
  <c r="W24" i="2" s="1"/>
  <c r="Q24" i="2"/>
  <c r="O24" i="2"/>
  <c r="M24" i="2"/>
  <c r="L24" i="2"/>
  <c r="K24" i="2"/>
  <c r="J24" i="2"/>
  <c r="I24" i="2"/>
  <c r="T23" i="2"/>
  <c r="W23" i="2" s="1"/>
  <c r="Q23" i="2"/>
  <c r="O23" i="2"/>
  <c r="M23" i="2"/>
  <c r="L23" i="2"/>
  <c r="K23" i="2"/>
  <c r="J23" i="2"/>
  <c r="I23" i="2"/>
  <c r="T22" i="2"/>
  <c r="W22" i="2" s="1"/>
  <c r="Q22" i="2"/>
  <c r="O22" i="2"/>
  <c r="M22" i="2"/>
  <c r="L22" i="2"/>
  <c r="K22" i="2"/>
  <c r="J22" i="2"/>
  <c r="I22" i="2"/>
  <c r="T21" i="2"/>
  <c r="W21" i="2" s="1"/>
  <c r="Q21" i="2"/>
  <c r="O21" i="2"/>
  <c r="M21" i="2"/>
  <c r="L21" i="2"/>
  <c r="K21" i="2"/>
  <c r="J21" i="2"/>
  <c r="I21" i="2"/>
  <c r="T20" i="2"/>
  <c r="W20" i="2" s="1"/>
  <c r="Q20" i="2"/>
  <c r="O20" i="2"/>
  <c r="M20" i="2"/>
  <c r="L20" i="2"/>
  <c r="K20" i="2"/>
  <c r="J20" i="2"/>
  <c r="I20" i="2"/>
  <c r="T19" i="2"/>
  <c r="W19" i="2" s="1"/>
  <c r="Q19" i="2"/>
  <c r="O19" i="2"/>
  <c r="M19" i="2"/>
  <c r="L19" i="2"/>
  <c r="K19" i="2"/>
  <c r="J19" i="2"/>
  <c r="I19" i="2"/>
  <c r="T18" i="2"/>
  <c r="W18" i="2" s="1"/>
  <c r="Q18" i="2"/>
  <c r="O18" i="2"/>
  <c r="M18" i="2"/>
  <c r="L18" i="2"/>
  <c r="K18" i="2"/>
  <c r="J18" i="2"/>
  <c r="I18" i="2"/>
  <c r="T17" i="2"/>
  <c r="W17" i="2" s="1"/>
  <c r="Q17" i="2"/>
  <c r="O17" i="2"/>
  <c r="M17" i="2"/>
  <c r="L17" i="2"/>
  <c r="K17" i="2"/>
  <c r="J17" i="2"/>
  <c r="I17" i="2"/>
  <c r="T16" i="2"/>
  <c r="W16" i="2" s="1"/>
  <c r="Q16" i="2"/>
  <c r="O16" i="2"/>
  <c r="M16" i="2"/>
  <c r="L16" i="2"/>
  <c r="K16" i="2"/>
  <c r="J16" i="2"/>
  <c r="I16" i="2"/>
  <c r="T15" i="2"/>
  <c r="W15" i="2" s="1"/>
  <c r="Q15" i="2"/>
  <c r="O15" i="2"/>
  <c r="M15" i="2"/>
  <c r="L15" i="2"/>
  <c r="K15" i="2"/>
  <c r="J15" i="2"/>
  <c r="I15" i="2"/>
  <c r="T14" i="2"/>
  <c r="W14" i="2" s="1"/>
  <c r="Q14" i="2"/>
  <c r="O14" i="2"/>
  <c r="M14" i="2"/>
  <c r="L14" i="2"/>
  <c r="K14" i="2"/>
  <c r="J14" i="2"/>
  <c r="I14" i="2"/>
  <c r="T13" i="2"/>
  <c r="W13" i="2" s="1"/>
  <c r="Q13" i="2"/>
  <c r="O13" i="2"/>
  <c r="M13" i="2"/>
  <c r="L13" i="2"/>
  <c r="K13" i="2"/>
  <c r="J13" i="2"/>
  <c r="I13" i="2"/>
  <c r="T12" i="2"/>
  <c r="W12" i="2" s="1"/>
  <c r="Q12" i="2"/>
  <c r="O12" i="2"/>
  <c r="M12" i="2"/>
  <c r="L12" i="2"/>
  <c r="K12" i="2"/>
  <c r="J12" i="2"/>
  <c r="I12" i="2"/>
  <c r="T11" i="2"/>
  <c r="W11" i="2" s="1"/>
  <c r="Q11" i="2"/>
  <c r="O11" i="2"/>
  <c r="M11" i="2"/>
  <c r="L11" i="2"/>
  <c r="K11" i="2"/>
  <c r="J11" i="2"/>
  <c r="I11" i="2"/>
  <c r="T10" i="2"/>
  <c r="W10" i="2" s="1"/>
  <c r="Q10" i="2"/>
  <c r="O10" i="2"/>
  <c r="M10" i="2"/>
  <c r="L10" i="2"/>
  <c r="K10" i="2"/>
  <c r="J10" i="2"/>
  <c r="I10" i="2"/>
  <c r="T9" i="2"/>
  <c r="W9" i="2" s="1"/>
  <c r="Q9" i="2"/>
  <c r="O9" i="2"/>
  <c r="M9" i="2"/>
  <c r="L9" i="2"/>
  <c r="K9" i="2"/>
  <c r="J9" i="2"/>
  <c r="I9" i="2"/>
  <c r="T8" i="2"/>
  <c r="W8" i="2" s="1"/>
  <c r="Q8" i="2"/>
  <c r="O8" i="2"/>
  <c r="M8" i="2"/>
  <c r="L8" i="2"/>
  <c r="K8" i="2"/>
  <c r="J8" i="2"/>
  <c r="I8" i="2"/>
  <c r="T7" i="2"/>
  <c r="W7" i="2" s="1"/>
  <c r="Q7" i="2"/>
  <c r="O7" i="2"/>
  <c r="M7" i="2"/>
  <c r="L7" i="2"/>
  <c r="K7" i="2"/>
  <c r="J7" i="2"/>
  <c r="I7" i="2"/>
  <c r="T6" i="2"/>
  <c r="W6" i="2" s="1"/>
  <c r="Q6" i="2"/>
  <c r="O6" i="2"/>
  <c r="M6" i="2"/>
  <c r="L6" i="2"/>
  <c r="K6" i="2"/>
  <c r="J6" i="2"/>
  <c r="I6" i="2"/>
  <c r="T5" i="2"/>
  <c r="W5" i="2" s="1"/>
  <c r="Q5" i="2"/>
  <c r="O5" i="2"/>
  <c r="M5" i="2"/>
  <c r="L5" i="2"/>
  <c r="K5" i="2"/>
  <c r="J5" i="2"/>
  <c r="I5" i="2"/>
  <c r="T4" i="2"/>
  <c r="W4" i="2" s="1"/>
  <c r="Q4" i="2"/>
  <c r="O4" i="2"/>
  <c r="M4" i="2"/>
  <c r="L4" i="2"/>
  <c r="K4" i="2"/>
  <c r="J4" i="2"/>
  <c r="I4" i="2"/>
  <c r="T3" i="2"/>
  <c r="W3" i="2" s="1"/>
  <c r="O3" i="2"/>
  <c r="M3" i="2"/>
  <c r="L3" i="2"/>
  <c r="K3" i="2"/>
  <c r="J3" i="2"/>
  <c r="I3" i="2"/>
  <c r="E7" i="3"/>
  <c r="E4" i="3"/>
  <c r="C6" i="3" l="1"/>
  <c r="B6" i="3"/>
  <c r="R3" i="2"/>
  <c r="N3" i="2"/>
  <c r="U99" i="2"/>
  <c r="X99" i="2" s="1"/>
  <c r="D4" i="3"/>
  <c r="C8" i="3"/>
  <c r="B8" i="3"/>
  <c r="C7" i="3"/>
  <c r="B7" i="3"/>
  <c r="U128" i="2"/>
  <c r="X128" i="2" s="1"/>
  <c r="U5" i="2"/>
  <c r="X5" i="2" s="1"/>
  <c r="U11" i="2"/>
  <c r="X11" i="2" s="1"/>
  <c r="U17" i="2"/>
  <c r="X17" i="2" s="1"/>
  <c r="U23" i="2"/>
  <c r="X23" i="2" s="1"/>
  <c r="U29" i="2"/>
  <c r="X29" i="2" s="1"/>
  <c r="U41" i="2"/>
  <c r="X41" i="2" s="1"/>
  <c r="U47" i="2"/>
  <c r="X47" i="2" s="1"/>
  <c r="U71" i="2"/>
  <c r="X71" i="2" s="1"/>
  <c r="U77" i="2"/>
  <c r="X77" i="2" s="1"/>
  <c r="U83" i="2"/>
  <c r="X83" i="2" s="1"/>
  <c r="R89" i="2"/>
  <c r="U95" i="2"/>
  <c r="X95" i="2" s="1"/>
  <c r="R101" i="2"/>
  <c r="R107" i="2"/>
  <c r="R113" i="2"/>
  <c r="R125" i="2"/>
  <c r="R10" i="2"/>
  <c r="U27" i="2"/>
  <c r="X27" i="2" s="1"/>
  <c r="U45" i="2"/>
  <c r="X45" i="2" s="1"/>
  <c r="U51" i="2"/>
  <c r="X51" i="2" s="1"/>
  <c r="R105" i="2"/>
  <c r="R117" i="2"/>
  <c r="R123" i="2"/>
  <c r="R8" i="2"/>
  <c r="R44" i="2"/>
  <c r="U80" i="2"/>
  <c r="X80" i="2" s="1"/>
  <c r="R86" i="2"/>
  <c r="U98" i="2"/>
  <c r="X98" i="2" s="1"/>
  <c r="R104" i="2"/>
  <c r="U110" i="2"/>
  <c r="X110" i="2" s="1"/>
  <c r="U116" i="2"/>
  <c r="X116" i="2" s="1"/>
  <c r="U122" i="2"/>
  <c r="X122" i="2" s="1"/>
  <c r="R128" i="2"/>
  <c r="R4" i="2"/>
  <c r="R16" i="2"/>
  <c r="R52" i="2"/>
  <c r="U58" i="2"/>
  <c r="X58" i="2" s="1"/>
  <c r="U94" i="2"/>
  <c r="X94" i="2" s="1"/>
  <c r="U130" i="2"/>
  <c r="X130" i="2" s="1"/>
  <c r="U33" i="2"/>
  <c r="X33" i="2" s="1"/>
  <c r="R93" i="2"/>
  <c r="R26" i="2"/>
  <c r="R32" i="2"/>
  <c r="R38" i="2"/>
  <c r="U56" i="2"/>
  <c r="X56" i="2" s="1"/>
  <c r="U74" i="2"/>
  <c r="X74" i="2" s="1"/>
  <c r="U67" i="2"/>
  <c r="X67" i="2" s="1"/>
  <c r="R91" i="2"/>
  <c r="R97" i="2"/>
  <c r="R103" i="2"/>
  <c r="R109" i="2"/>
  <c r="R115" i="2"/>
  <c r="R121" i="2"/>
  <c r="R127" i="2"/>
  <c r="R28" i="2"/>
  <c r="U88" i="2"/>
  <c r="X88" i="2" s="1"/>
  <c r="U100" i="2"/>
  <c r="X100" i="2" s="1"/>
  <c r="U124" i="2"/>
  <c r="X124" i="2" s="1"/>
  <c r="U3" i="2"/>
  <c r="X3" i="2" s="1"/>
  <c r="U15" i="2"/>
  <c r="X15" i="2" s="1"/>
  <c r="U7" i="2"/>
  <c r="X7" i="2" s="1"/>
  <c r="U13" i="2"/>
  <c r="X13" i="2" s="1"/>
  <c r="U25" i="2"/>
  <c r="X25" i="2" s="1"/>
  <c r="U37" i="2"/>
  <c r="X37" i="2" s="1"/>
  <c r="U43" i="2"/>
  <c r="X43" i="2" s="1"/>
  <c r="R73" i="2"/>
  <c r="R22" i="2"/>
  <c r="U70" i="2"/>
  <c r="X70" i="2" s="1"/>
  <c r="U82" i="2"/>
  <c r="X82" i="2" s="1"/>
  <c r="U9" i="2"/>
  <c r="X9" i="2" s="1"/>
  <c r="U21" i="2"/>
  <c r="X21" i="2" s="1"/>
  <c r="U39" i="2"/>
  <c r="X39" i="2" s="1"/>
  <c r="U57" i="2"/>
  <c r="X57" i="2" s="1"/>
  <c r="U69" i="2"/>
  <c r="X69" i="2" s="1"/>
  <c r="R81" i="2"/>
  <c r="R111" i="2"/>
  <c r="U19" i="2"/>
  <c r="X19" i="2" s="1"/>
  <c r="U31" i="2"/>
  <c r="X31" i="2" s="1"/>
  <c r="U55" i="2"/>
  <c r="X55" i="2" s="1"/>
  <c r="U61" i="2"/>
  <c r="X61" i="2" s="1"/>
  <c r="R6" i="2"/>
  <c r="R18" i="2"/>
  <c r="R24" i="2"/>
  <c r="R30" i="2"/>
  <c r="U54" i="2"/>
  <c r="X54" i="2" s="1"/>
  <c r="R66" i="2"/>
  <c r="R78" i="2"/>
  <c r="U84" i="2"/>
  <c r="X84" i="2" s="1"/>
  <c r="U90" i="2"/>
  <c r="X90" i="2" s="1"/>
  <c r="U96" i="2"/>
  <c r="X96" i="2" s="1"/>
  <c r="U102" i="2"/>
  <c r="X102" i="2" s="1"/>
  <c r="U108" i="2"/>
  <c r="X108" i="2" s="1"/>
  <c r="R114" i="2"/>
  <c r="U120" i="2"/>
  <c r="X120" i="2" s="1"/>
  <c r="U126" i="2"/>
  <c r="X126" i="2" s="1"/>
  <c r="R94" i="2"/>
  <c r="N108" i="2"/>
  <c r="N114" i="2"/>
  <c r="R41" i="2"/>
  <c r="U92" i="2"/>
  <c r="X92" i="2" s="1"/>
  <c r="R33" i="2"/>
  <c r="R76" i="2"/>
  <c r="U78" i="2"/>
  <c r="X78" i="2" s="1"/>
  <c r="R43" i="2"/>
  <c r="R27" i="2"/>
  <c r="R57" i="2"/>
  <c r="R58" i="2"/>
  <c r="N34" i="2"/>
  <c r="N51" i="2"/>
  <c r="N124" i="2"/>
  <c r="N12" i="2"/>
  <c r="R72" i="2"/>
  <c r="R82" i="2"/>
  <c r="N88" i="2"/>
  <c r="N104" i="2"/>
  <c r="U64" i="2"/>
  <c r="X64" i="2" s="1"/>
  <c r="N64" i="2"/>
  <c r="N54" i="2"/>
  <c r="R80" i="2"/>
  <c r="N83" i="2"/>
  <c r="N66" i="2"/>
  <c r="N130" i="2"/>
  <c r="R63" i="2"/>
  <c r="R96" i="2"/>
  <c r="R98" i="2"/>
  <c r="R108" i="2"/>
  <c r="R116" i="2"/>
  <c r="R130" i="2"/>
  <c r="N68" i="2"/>
  <c r="N61" i="2"/>
  <c r="U66" i="2"/>
  <c r="X66" i="2" s="1"/>
  <c r="R7" i="2"/>
  <c r="R11" i="2"/>
  <c r="R17" i="2"/>
  <c r="R19" i="2"/>
  <c r="R37" i="2"/>
  <c r="R53" i="2"/>
  <c r="R54" i="2"/>
  <c r="N71" i="2"/>
  <c r="N79" i="2"/>
  <c r="R90" i="2"/>
  <c r="N101" i="2"/>
  <c r="N122" i="2"/>
  <c r="N42" i="2"/>
  <c r="N100" i="2"/>
  <c r="N121" i="2"/>
  <c r="R29" i="2"/>
  <c r="R51" i="2"/>
  <c r="N76" i="2"/>
  <c r="R88" i="2"/>
  <c r="N97" i="2"/>
  <c r="N98" i="2"/>
  <c r="N117" i="2"/>
  <c r="R70" i="2"/>
  <c r="N112" i="2"/>
  <c r="R120" i="2"/>
  <c r="N14" i="2"/>
  <c r="N20" i="2"/>
  <c r="N36" i="2"/>
  <c r="R68" i="2"/>
  <c r="R118" i="2"/>
  <c r="N128" i="2"/>
  <c r="U52" i="2"/>
  <c r="X52" i="2" s="1"/>
  <c r="U114" i="2"/>
  <c r="X114" i="2" s="1"/>
  <c r="R42" i="2"/>
  <c r="R47" i="2"/>
  <c r="U50" i="2"/>
  <c r="X50" i="2" s="1"/>
  <c r="N91" i="2"/>
  <c r="N93" i="2"/>
  <c r="U106" i="2"/>
  <c r="X106" i="2" s="1"/>
  <c r="R110" i="2"/>
  <c r="N8" i="2"/>
  <c r="R9" i="2"/>
  <c r="N24" i="2"/>
  <c r="R25" i="2"/>
  <c r="N30" i="2"/>
  <c r="R31" i="2"/>
  <c r="N46" i="2"/>
  <c r="N52" i="2"/>
  <c r="N56" i="2"/>
  <c r="N69" i="2"/>
  <c r="R77" i="2"/>
  <c r="U86" i="2"/>
  <c r="X86" i="2" s="1"/>
  <c r="R112" i="2"/>
  <c r="N115" i="2"/>
  <c r="N116" i="2"/>
  <c r="U112" i="2"/>
  <c r="X112" i="2" s="1"/>
  <c r="N4" i="2"/>
  <c r="N26" i="2"/>
  <c r="N80" i="2"/>
  <c r="N16" i="2"/>
  <c r="R34" i="2"/>
  <c r="N38" i="2"/>
  <c r="R39" i="2"/>
  <c r="N75" i="2"/>
  <c r="N82" i="2"/>
  <c r="N85" i="2"/>
  <c r="R100" i="2"/>
  <c r="N105" i="2"/>
  <c r="N125" i="2"/>
  <c r="R12" i="2"/>
  <c r="N22" i="2"/>
  <c r="R23" i="2"/>
  <c r="N44" i="2"/>
  <c r="R45" i="2"/>
  <c r="N58" i="2"/>
  <c r="R59" i="2"/>
  <c r="U63" i="2"/>
  <c r="X63" i="2" s="1"/>
  <c r="R102" i="2"/>
  <c r="R122" i="2"/>
  <c r="N129" i="2"/>
  <c r="N32" i="2"/>
  <c r="N6" i="2"/>
  <c r="N28" i="2"/>
  <c r="R74" i="2"/>
  <c r="N84" i="2"/>
  <c r="N87" i="2"/>
  <c r="N107" i="2"/>
  <c r="N110" i="2"/>
  <c r="R126" i="2"/>
  <c r="N63" i="2"/>
  <c r="N67" i="2"/>
  <c r="N77" i="2"/>
  <c r="R85" i="2"/>
  <c r="N111" i="2"/>
  <c r="N49" i="2"/>
  <c r="N90" i="2"/>
  <c r="N10" i="2"/>
  <c r="R13" i="2"/>
  <c r="R35" i="2"/>
  <c r="N18" i="2"/>
  <c r="R36" i="2"/>
  <c r="N40" i="2"/>
  <c r="R65" i="2"/>
  <c r="N74" i="2"/>
  <c r="U75" i="2"/>
  <c r="X75" i="2" s="1"/>
  <c r="N60" i="2"/>
  <c r="U60" i="2"/>
  <c r="X60" i="2" s="1"/>
  <c r="R95" i="2"/>
  <c r="N96" i="2"/>
  <c r="N95" i="2"/>
  <c r="R119" i="2"/>
  <c r="N120" i="2"/>
  <c r="N119" i="2"/>
  <c r="R55" i="2"/>
  <c r="N55" i="2"/>
  <c r="R60" i="2"/>
  <c r="N48" i="2"/>
  <c r="U48" i="2"/>
  <c r="X48" i="2" s="1"/>
  <c r="R48" i="2"/>
  <c r="U109" i="2"/>
  <c r="X109" i="2" s="1"/>
  <c r="N5" i="2"/>
  <c r="N7" i="2"/>
  <c r="N9" i="2"/>
  <c r="N11" i="2"/>
  <c r="N13" i="2"/>
  <c r="N15" i="2"/>
  <c r="N17" i="2"/>
  <c r="N19" i="2"/>
  <c r="N21" i="2"/>
  <c r="N23" i="2"/>
  <c r="N25" i="2"/>
  <c r="N27" i="2"/>
  <c r="N29" i="2"/>
  <c r="N31" i="2"/>
  <c r="N33" i="2"/>
  <c r="N35" i="2"/>
  <c r="N37" i="2"/>
  <c r="N39" i="2"/>
  <c r="N41" i="2"/>
  <c r="N43" i="2"/>
  <c r="N45" i="2"/>
  <c r="N47" i="2"/>
  <c r="U53" i="2"/>
  <c r="X53" i="2" s="1"/>
  <c r="N59" i="2"/>
  <c r="U65" i="2"/>
  <c r="X65" i="2" s="1"/>
  <c r="R71" i="2"/>
  <c r="U73" i="2"/>
  <c r="X73" i="2" s="1"/>
  <c r="U81" i="2"/>
  <c r="X81" i="2" s="1"/>
  <c r="R87" i="2"/>
  <c r="U113" i="2"/>
  <c r="X113" i="2" s="1"/>
  <c r="U89" i="2"/>
  <c r="X89" i="2" s="1"/>
  <c r="U4" i="2"/>
  <c r="X4" i="2" s="1"/>
  <c r="U6" i="2"/>
  <c r="X6" i="2" s="1"/>
  <c r="U8" i="2"/>
  <c r="X8" i="2" s="1"/>
  <c r="U10" i="2"/>
  <c r="X10" i="2" s="1"/>
  <c r="U12" i="2"/>
  <c r="X12" i="2" s="1"/>
  <c r="U14" i="2"/>
  <c r="X14" i="2" s="1"/>
  <c r="U16" i="2"/>
  <c r="X16" i="2" s="1"/>
  <c r="U20" i="2"/>
  <c r="X20" i="2" s="1"/>
  <c r="U22" i="2"/>
  <c r="X22" i="2" s="1"/>
  <c r="U24" i="2"/>
  <c r="X24" i="2" s="1"/>
  <c r="U26" i="2"/>
  <c r="X26" i="2" s="1"/>
  <c r="U28" i="2"/>
  <c r="X28" i="2" s="1"/>
  <c r="U30" i="2"/>
  <c r="X30" i="2" s="1"/>
  <c r="U32" i="2"/>
  <c r="X32" i="2" s="1"/>
  <c r="U34" i="2"/>
  <c r="X34" i="2" s="1"/>
  <c r="U36" i="2"/>
  <c r="X36" i="2" s="1"/>
  <c r="U38" i="2"/>
  <c r="X38" i="2" s="1"/>
  <c r="U40" i="2"/>
  <c r="X40" i="2" s="1"/>
  <c r="U44" i="2"/>
  <c r="X44" i="2" s="1"/>
  <c r="U46" i="2"/>
  <c r="X46" i="2" s="1"/>
  <c r="R49" i="2"/>
  <c r="R56" i="2"/>
  <c r="R61" i="2"/>
  <c r="N94" i="2"/>
  <c r="U103" i="2"/>
  <c r="X103" i="2" s="1"/>
  <c r="N118" i="2"/>
  <c r="U127" i="2"/>
  <c r="X127" i="2" s="1"/>
  <c r="N57" i="2"/>
  <c r="U93" i="2"/>
  <c r="X93" i="2" s="1"/>
  <c r="N50" i="2"/>
  <c r="U79" i="2"/>
  <c r="X79" i="2" s="1"/>
  <c r="U97" i="2"/>
  <c r="X97" i="2" s="1"/>
  <c r="U121" i="2"/>
  <c r="X121" i="2" s="1"/>
  <c r="N70" i="2"/>
  <c r="N78" i="2"/>
  <c r="N86" i="2"/>
  <c r="N102" i="2"/>
  <c r="N109" i="2"/>
  <c r="U111" i="2"/>
  <c r="X111" i="2" s="1"/>
  <c r="N126" i="2"/>
  <c r="N72" i="2"/>
  <c r="U87" i="2"/>
  <c r="X87" i="2" s="1"/>
  <c r="U107" i="2"/>
  <c r="X107" i="2" s="1"/>
  <c r="N53" i="2"/>
  <c r="N65" i="2"/>
  <c r="R67" i="2"/>
  <c r="N73" i="2"/>
  <c r="R75" i="2"/>
  <c r="N81" i="2"/>
  <c r="R83" i="2"/>
  <c r="N89" i="2"/>
  <c r="N92" i="2"/>
  <c r="N99" i="2"/>
  <c r="U101" i="2"/>
  <c r="X101" i="2" s="1"/>
  <c r="N123" i="2"/>
  <c r="U125" i="2"/>
  <c r="X125" i="2" s="1"/>
  <c r="C9" i="3"/>
  <c r="N62" i="2"/>
  <c r="R50" i="2"/>
  <c r="R62" i="2"/>
  <c r="U91" i="2"/>
  <c r="X91" i="2" s="1"/>
  <c r="N106" i="2"/>
  <c r="N113" i="2"/>
  <c r="U115" i="2"/>
  <c r="X115" i="2" s="1"/>
  <c r="N103" i="2"/>
  <c r="U105" i="2"/>
  <c r="X105" i="2" s="1"/>
  <c r="N127" i="2"/>
  <c r="D5" i="3"/>
  <c r="R129" i="2"/>
  <c r="U129" i="2"/>
  <c r="X129" i="2" s="1"/>
  <c r="U123" i="2"/>
  <c r="X123" i="2" s="1"/>
  <c r="E5" i="3"/>
  <c r="E8" i="3"/>
  <c r="E9" i="3"/>
  <c r="E6" i="3"/>
  <c r="D8" i="3" l="1"/>
  <c r="R46" i="2"/>
  <c r="R106" i="2"/>
  <c r="U85" i="2"/>
  <c r="X85" i="2" s="1"/>
  <c r="R64" i="2"/>
  <c r="R92" i="2"/>
  <c r="U118" i="2"/>
  <c r="X118" i="2" s="1"/>
  <c r="U59" i="2"/>
  <c r="X59" i="2" s="1"/>
  <c r="U117" i="2"/>
  <c r="X117" i="2" s="1"/>
  <c r="U42" i="2"/>
  <c r="X42" i="2" s="1"/>
  <c r="U18" i="2"/>
  <c r="X18" i="2" s="1"/>
  <c r="R79" i="2"/>
  <c r="R124" i="2"/>
  <c r="R84" i="2"/>
  <c r="R20" i="2"/>
  <c r="R14" i="2"/>
  <c r="R69" i="2"/>
  <c r="U104" i="2"/>
  <c r="X104" i="2" s="1"/>
  <c r="R5" i="2"/>
  <c r="R21" i="2"/>
  <c r="R15" i="2"/>
  <c r="U72" i="2"/>
  <c r="X72" i="2" s="1"/>
  <c r="R99" i="2"/>
  <c r="U49" i="2"/>
  <c r="X49" i="2" s="1"/>
  <c r="U76" i="2"/>
  <c r="X76" i="2" s="1"/>
  <c r="U68" i="2"/>
  <c r="X68" i="2" s="1"/>
  <c r="R40" i="2"/>
  <c r="U62" i="2"/>
  <c r="X62" i="2" s="1"/>
  <c r="U119" i="2"/>
  <c r="X119" i="2" s="1"/>
  <c r="U35" i="2"/>
  <c r="X35" i="2" s="1"/>
  <c r="D7" i="3"/>
  <c r="D6" i="3"/>
  <c r="B9" i="3"/>
  <c r="D9" i="3"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<sst xmlns="http://schemas.openxmlformats.org/spreadsheetml/2006/main" count="3043" uniqueCount="2906">
  <si>
    <t>THE ₹100 DOLLAR QUESTION</t>
  </si>
  <si>
    <t>Research workbook | Does a falling rupee change which investments build wealth?</t>
  </si>
  <si>
    <t>Purpose</t>
  </si>
  <si>
    <t>Compare Indian equities, US equities measured in INR, gold and inflation over a common monthly period.</t>
  </si>
  <si>
    <t>Study window</t>
  </si>
  <si>
    <t>January 2016–September 2026 (monthly). Use the latest complete month available across all series.</t>
  </si>
  <si>
    <t>Important status</t>
  </si>
  <si>
    <t>This is a calculation-ready workbook template. The market-data input cells are intentionally blank until source series are downloaded and reconciled; no historical returns are invented.</t>
  </si>
  <si>
    <t>Step 1</t>
  </si>
  <si>
    <t>Download monthly USD/INR from FRED (EXINUS). The series is a monthly average of daily rates, not a month-end rate.</t>
  </si>
  <si>
    <t>Step 2</t>
  </si>
  <si>
    <t>Download monthly gold prices in USD/oz and INR/oz (or USD/gram and INR/gram) from the World Gold Council. Confirm units.</t>
  </si>
  <si>
    <t>Step 3</t>
  </si>
  <si>
    <t>Download Nifty 50 TRI and S&amp;P 500 total-return data. Do not compare a price-only index with a total-return index without clearly labelling the difference.</t>
  </si>
  <si>
    <t>Step 4</t>
  </si>
  <si>
    <t>Download Indian CPI from MoSPI and use one consistent CPI series/base throughout.</t>
  </si>
  <si>
    <t>Step 5</t>
  </si>
  <si>
    <t>Paste values into the matching raw-data columns in Monthly Data. Formulas calculate INR-converted US equity value, returns, growth of ₹1 lakh, drawdown and real value.</t>
  </si>
  <si>
    <t>Interpretation rule</t>
  </si>
  <si>
    <t>Currency conversion can increase or reduce INR returns. Historical performance does not establish that an asset will outperform in the future.</t>
  </si>
  <si>
    <t>Limitations</t>
  </si>
  <si>
    <t>The workbook does not yet include transaction costs, taxes, gold duties/premiums, fund expenses, tracking error or actual investor cash flows.</t>
  </si>
  <si>
    <t>Primary sources</t>
  </si>
  <si>
    <t>USD/INR monthly series — FRED EXINUS</t>
  </si>
  <si>
    <t>https://fred.stlouisfed.org/series/EXINUS</t>
  </si>
  <si>
    <t>Gold prices and downloadable historical averages — World Gold Council</t>
  </si>
  <si>
    <t>https://www.gold.org/goldhub/data/gold-prices</t>
  </si>
  <si>
    <t>Nifty Indices historical data</t>
  </si>
  <si>
    <t>https://www.niftyindices.com/reports/historical-data</t>
  </si>
  <si>
    <t>S&amp;P 500 series portal — FRED (check index type; price index excludes dividends)</t>
  </si>
  <si>
    <t>https://fred.stlouisfed.org/series/SP500</t>
  </si>
  <si>
    <t>India CPI — MoSPI data catalogue</t>
  </si>
  <si>
    <t>https://esankhyiki.mospi.gov.in/catalogue-main/catalogue?product=CPI</t>
  </si>
  <si>
    <t>Month</t>
  </si>
  <si>
    <t>USD/INR avg</t>
  </si>
  <si>
    <t>Gold USD/oz</t>
  </si>
  <si>
    <t>Gold INR/oz (source)</t>
  </si>
  <si>
    <t>Nifty 50 TRI</t>
  </si>
  <si>
    <t>S&amp;P 500 total return index</t>
  </si>
  <si>
    <t>India CPI index</t>
  </si>
  <si>
    <t>FX monthly return</t>
  </si>
  <si>
    <t>Gold USD return</t>
  </si>
  <si>
    <t>Gold INR source return</t>
  </si>
  <si>
    <t>Nifty TRI return</t>
  </si>
  <si>
    <t>S&amp;P 500 USD return</t>
  </si>
  <si>
    <t>S&amp;P 500 INR return</t>
  </si>
  <si>
    <t>India CPI inflation</t>
  </si>
  <si>
    <t>Gold INR drawdown</t>
  </si>
  <si>
    <t>Nifty drawdown</t>
  </si>
  <si>
    <t>S&amp;P 500 INR drawdown</t>
  </si>
  <si>
    <t>₹100,000 Gold INR value</t>
  </si>
  <si>
    <t>₹100,000 Nifty value</t>
  </si>
  <si>
    <t>₹100,000 S&amp;P 500 INR value</t>
  </si>
  <si>
    <t>Real Gold value (base-month ₹)</t>
  </si>
  <si>
    <t>Real Nifty value (base-month ₹)</t>
  </si>
  <si>
    <t>Real S&amp;P value (base-month ₹)</t>
  </si>
  <si>
    <t>RESULTS SUMMARY (populates after data is entered)</t>
  </si>
  <si>
    <t>Metric</t>
  </si>
  <si>
    <t>Gold INR (source)</t>
  </si>
  <si>
    <t>S&amp;P 500 measured in INR</t>
  </si>
  <si>
    <t>First available value</t>
  </si>
  <si>
    <t>Latest available value</t>
  </si>
  <si>
    <t>Growth multiple</t>
  </si>
  <si>
    <t>Total return</t>
  </si>
  <si>
    <t>Annualised return (CAGR)</t>
  </si>
  <si>
    <t>Worst observed drawdown</t>
  </si>
  <si>
    <t>Definition / formula</t>
  </si>
  <si>
    <t>Interpretation caution</t>
  </si>
  <si>
    <t>Monthly return</t>
  </si>
  <si>
    <t>Current value / previous value - 1</t>
  </si>
  <si>
    <t>Ensure the observations represent comparable periods.</t>
  </si>
  <si>
    <t>Cumulative return</t>
  </si>
  <si>
    <t>Ending value / beginning value - 1</t>
  </si>
  <si>
    <t>Does not account for contributions, taxes or fees.</t>
  </si>
  <si>
    <t>CAGR</t>
  </si>
  <si>
    <t>(Ending value / beginning value)^(12 / number of monthly observations) - 1</t>
  </si>
  <si>
    <t>Annualised compound growth; use elapsed months carefully.</t>
  </si>
  <si>
    <t>USD asset converted to INR</t>
  </si>
  <si>
    <t>USD asset index × USD/INR</t>
  </si>
  <si>
    <t>The USD/INR quote is INR per USD, so multiplying converts USD value to INR.</t>
  </si>
  <si>
    <t>Gold INR from USD</t>
  </si>
  <si>
    <t>Gold USD/oz × USD/INR</t>
  </si>
  <si>
    <t>This yields INR per troy ounce. Divide by 31.1034768 for INR per gram.</t>
  </si>
  <si>
    <t>Drawdown</t>
  </si>
  <si>
    <t>Current value / running peak - 1</t>
  </si>
  <si>
    <t>Negative values show declines from prior peaks.</t>
  </si>
  <si>
    <t>Real value</t>
  </si>
  <si>
    <t>Nominal value × base-period CPI / current CPI</t>
  </si>
  <si>
    <t>Use a consistent CPI series and base.</t>
  </si>
  <si>
    <t>Currency effect</t>
  </si>
  <si>
    <t>(1 + USD asset return) × (1 + FX return) - 1</t>
  </si>
  <si>
    <t>Exact multiplicative decomposition, before costs.</t>
  </si>
  <si>
    <t>Total-return index</t>
  </si>
  <si>
    <t>Includes reinvested dividends/distributions according to provider methodology</t>
  </si>
  <si>
    <t>Confirm index methodology and corporate-action treatment.</t>
  </si>
  <si>
    <t>SIP comparison</t>
  </si>
  <si>
    <t>Invest the same cash amount on each monthly date using actual monthly price/index</t>
  </si>
  <si>
    <t>A fair SIP simulation requires actual cash-flow timing and consistent dates.</t>
  </si>
  <si>
    <t>observation_date</t>
  </si>
  <si>
    <t>EXINUS</t>
  </si>
  <si>
    <t>Date</t>
  </si>
  <si>
    <t>Price</t>
  </si>
  <si>
    <t>Open</t>
  </si>
  <si>
    <t>High</t>
  </si>
  <si>
    <t>Low</t>
  </si>
  <si>
    <t>Vol.</t>
  </si>
  <si>
    <t>Change %</t>
  </si>
  <si>
    <t>334.21M</t>
  </si>
  <si>
    <t>710.87M</t>
  </si>
  <si>
    <t>296.13M</t>
  </si>
  <si>
    <t>323.42M</t>
  </si>
  <si>
    <t>244.79M</t>
  </si>
  <si>
    <t>239.45M</t>
  </si>
  <si>
    <t>236.29M</t>
  </si>
  <si>
    <t>259.28M</t>
  </si>
  <si>
    <t>253.92M</t>
  </si>
  <si>
    <t>238.72M</t>
  </si>
  <si>
    <t>227.03M</t>
  </si>
  <si>
    <t>225.43M</t>
  </si>
  <si>
    <t>267.71M</t>
  </si>
  <si>
    <t>295.82M</t>
  </si>
  <si>
    <t>317.55M</t>
  </si>
  <si>
    <t>271.77M</t>
  </si>
  <si>
    <t>269.51M</t>
  </si>
  <si>
    <t>254.82M</t>
  </si>
  <si>
    <t>343.99M</t>
  </si>
  <si>
    <t>355.52M</t>
  </si>
  <si>
    <t>296.49M</t>
  </si>
  <si>
    <t>342.28M</t>
  </si>
  <si>
    <t>411.69M</t>
  </si>
  <si>
    <t>400.64M</t>
  </si>
  <si>
    <t>424.15M</t>
  </si>
  <si>
    <t>437.83M</t>
  </si>
  <si>
    <t>319.37M</t>
  </si>
  <si>
    <t>333.87M</t>
  </si>
  <si>
    <t>344.04M</t>
  </si>
  <si>
    <t>304.75M</t>
  </si>
  <si>
    <t>315.56M</t>
  </si>
  <si>
    <t>353.10M</t>
  </si>
  <si>
    <t>387.77M</t>
  </si>
  <si>
    <t>264.27M</t>
  </si>
  <si>
    <t>306.92M</t>
  </si>
  <si>
    <t>355.83M</t>
  </si>
  <si>
    <t>322.68M</t>
  </si>
  <si>
    <t>313.07M</t>
  </si>
  <si>
    <t>384.80M</t>
  </si>
  <si>
    <t>420.53M</t>
  </si>
  <si>
    <t>412.62M</t>
  </si>
  <si>
    <t>329.36M</t>
  </si>
  <si>
    <t>326.63M</t>
  </si>
  <si>
    <t>372.94M</t>
  </si>
  <si>
    <t>352.15M</t>
  </si>
  <si>
    <t>449.04M</t>
  </si>
  <si>
    <t>588.50M</t>
  </si>
  <si>
    <t>448.75M</t>
  </si>
  <si>
    <t>395.58M</t>
  </si>
  <si>
    <t>340.09M</t>
  </si>
  <si>
    <t>252.82M</t>
  </si>
  <si>
    <t>447.86M</t>
  </si>
  <si>
    <t>339.99M</t>
  </si>
  <si>
    <t>352.67M</t>
  </si>
  <si>
    <t>327.31M</t>
  </si>
  <si>
    <t>398.91M</t>
  </si>
  <si>
    <t>351.94M</t>
  </si>
  <si>
    <t>363.00M</t>
  </si>
  <si>
    <t>380.03M</t>
  </si>
  <si>
    <t>402.55M</t>
  </si>
  <si>
    <t>375.73M</t>
  </si>
  <si>
    <t>366.21M</t>
  </si>
  <si>
    <t>412.51M</t>
  </si>
  <si>
    <t>450.08M</t>
  </si>
  <si>
    <t>511.85M</t>
  </si>
  <si>
    <t>421.69M</t>
  </si>
  <si>
    <t>1.20B</t>
  </si>
  <si>
    <t>531.57M</t>
  </si>
  <si>
    <t>387.93M</t>
  </si>
  <si>
    <t>351.22M</t>
  </si>
  <si>
    <t>336.11M</t>
  </si>
  <si>
    <t>348.18M</t>
  </si>
  <si>
    <t>344.05M</t>
  </si>
  <si>
    <t>441.95M</t>
  </si>
  <si>
    <t>391.97M</t>
  </si>
  <si>
    <t>408.86M</t>
  </si>
  <si>
    <t>428.74M</t>
  </si>
  <si>
    <t>415.36M</t>
  </si>
  <si>
    <t>447.52M</t>
  </si>
  <si>
    <t>390.11M</t>
  </si>
  <si>
    <t>335.89M</t>
  </si>
  <si>
    <t>440.62M</t>
  </si>
  <si>
    <t>429.19M</t>
  </si>
  <si>
    <t>363.30M</t>
  </si>
  <si>
    <t>419.07M</t>
  </si>
  <si>
    <t>505.52M</t>
  </si>
  <si>
    <t>531.12M</t>
  </si>
  <si>
    <t>554.13M</t>
  </si>
  <si>
    <t>430.30M</t>
  </si>
  <si>
    <t>438.43M</t>
  </si>
  <si>
    <t>467.55M</t>
  </si>
  <si>
    <t>440.52M</t>
  </si>
  <si>
    <t>425.83M</t>
  </si>
  <si>
    <t>415.94M</t>
  </si>
  <si>
    <t>498.63M</t>
  </si>
  <si>
    <t>508.02M</t>
  </si>
  <si>
    <t>460.33M</t>
  </si>
  <si>
    <t>488.84M</t>
  </si>
  <si>
    <t>481.30M</t>
  </si>
  <si>
    <t>466.59M</t>
  </si>
  <si>
    <t>639.26M</t>
  </si>
  <si>
    <t>476.98M</t>
  </si>
  <si>
    <t>426.42M</t>
  </si>
  <si>
    <t>495.12M</t>
  </si>
  <si>
    <t>517.95M</t>
  </si>
  <si>
    <t>698.60M</t>
  </si>
  <si>
    <t>612.56M</t>
  </si>
  <si>
    <t>505.42M</t>
  </si>
  <si>
    <t>538.10M</t>
  </si>
  <si>
    <t>550.28M</t>
  </si>
  <si>
    <t>663.29M</t>
  </si>
  <si>
    <t>550.15M</t>
  </si>
  <si>
    <t>382.88M</t>
  </si>
  <si>
    <t>458.79M</t>
  </si>
  <si>
    <t>540.29M</t>
  </si>
  <si>
    <t>519.78M</t>
  </si>
  <si>
    <t>501.00M</t>
  </si>
  <si>
    <t>407.40M</t>
  </si>
  <si>
    <t>444.28M</t>
  </si>
  <si>
    <t>526.90M</t>
  </si>
  <si>
    <t>433.41M</t>
  </si>
  <si>
    <t>504.34M</t>
  </si>
  <si>
    <t>598.99M</t>
  </si>
  <si>
    <t>519.23M</t>
  </si>
  <si>
    <t>438.92M</t>
  </si>
  <si>
    <t>405.22M</t>
  </si>
  <si>
    <t>414.21M</t>
  </si>
  <si>
    <t>439.07M</t>
  </si>
  <si>
    <t>313.68M</t>
  </si>
  <si>
    <t>296.58M</t>
  </si>
  <si>
    <t>298.23M</t>
  </si>
  <si>
    <t>310.23M</t>
  </si>
  <si>
    <t>344.12M</t>
  </si>
  <si>
    <t>275.77M</t>
  </si>
  <si>
    <t>453.52M</t>
  </si>
  <si>
    <t>419.39M</t>
  </si>
  <si>
    <t>331.39M</t>
  </si>
  <si>
    <t>460.88M</t>
  </si>
  <si>
    <t>359.39M</t>
  </si>
  <si>
    <t>375.48M</t>
  </si>
  <si>
    <t>343.81M</t>
  </si>
  <si>
    <t>429.79M</t>
  </si>
  <si>
    <t>637.26M</t>
  </si>
  <si>
    <t>449.22M</t>
  </si>
  <si>
    <t>379.37M</t>
  </si>
  <si>
    <t>508.39M</t>
  </si>
  <si>
    <t>582.39M</t>
  </si>
  <si>
    <t>574.90M</t>
  </si>
  <si>
    <t>618.70M</t>
  </si>
  <si>
    <t>393.94M</t>
  </si>
  <si>
    <t>486.40M</t>
  </si>
  <si>
    <t>395.62M</t>
  </si>
  <si>
    <t>409.77M</t>
  </si>
  <si>
    <t>443.09M</t>
  </si>
  <si>
    <t>434.04M</t>
  </si>
  <si>
    <t>393.13M</t>
  </si>
  <si>
    <t>339.54M</t>
  </si>
  <si>
    <t>275.76M</t>
  </si>
  <si>
    <t>348.76M</t>
  </si>
  <si>
    <t>328.52M</t>
  </si>
  <si>
    <t>338.22M</t>
  </si>
  <si>
    <t>383.04M</t>
  </si>
  <si>
    <t>338.78M</t>
  </si>
  <si>
    <t>357.55M</t>
  </si>
  <si>
    <t>425.63M</t>
  </si>
  <si>
    <t>246.31M</t>
  </si>
  <si>
    <t>396.89M</t>
  </si>
  <si>
    <t>234.31M</t>
  </si>
  <si>
    <t>142.24M</t>
  </si>
  <si>
    <t>188.85M</t>
  </si>
  <si>
    <t>216.55M</t>
  </si>
  <si>
    <t>252.99M</t>
  </si>
  <si>
    <t>382.93M</t>
  </si>
  <si>
    <t>197.55M</t>
  </si>
  <si>
    <t>206.52M</t>
  </si>
  <si>
    <t>264.35M</t>
  </si>
  <si>
    <t>181.56M</t>
  </si>
  <si>
    <t>216.34M</t>
  </si>
  <si>
    <t>206.10M</t>
  </si>
  <si>
    <t>207.94M</t>
  </si>
  <si>
    <t>275.98M</t>
  </si>
  <si>
    <t>320.73M</t>
  </si>
  <si>
    <t>249.25M</t>
  </si>
  <si>
    <t>248.10M</t>
  </si>
  <si>
    <t>265.66M</t>
  </si>
  <si>
    <t>254.80M</t>
  </si>
  <si>
    <t>213.83M</t>
  </si>
  <si>
    <t>202.51M</t>
  </si>
  <si>
    <t>240.29M</t>
  </si>
  <si>
    <t>275.26M</t>
  </si>
  <si>
    <t>260.45M</t>
  </si>
  <si>
    <t>464.65M</t>
  </si>
  <si>
    <t>235.58M</t>
  </si>
  <si>
    <t>240.43M</t>
  </si>
  <si>
    <t>250.11M</t>
  </si>
  <si>
    <t>280.00M</t>
  </si>
  <si>
    <t>281.77M</t>
  </si>
  <si>
    <t>518.94M</t>
  </si>
  <si>
    <t>385.17M</t>
  </si>
  <si>
    <t>312.59M</t>
  </si>
  <si>
    <t>297.71M</t>
  </si>
  <si>
    <t>243.59M</t>
  </si>
  <si>
    <t>305.61M</t>
  </si>
  <si>
    <t>371.85M</t>
  </si>
  <si>
    <t>305.14M</t>
  </si>
  <si>
    <t>23.35M</t>
  </si>
  <si>
    <t>334.38M</t>
  </si>
  <si>
    <t>257.37M</t>
  </si>
  <si>
    <t>321.88M</t>
  </si>
  <si>
    <t>395.23M</t>
  </si>
  <si>
    <t>266.34M</t>
  </si>
  <si>
    <t>284.91M</t>
  </si>
  <si>
    <t>448.40M</t>
  </si>
  <si>
    <t>42.47M</t>
  </si>
  <si>
    <t>301.13M</t>
  </si>
  <si>
    <t>422.06M</t>
  </si>
  <si>
    <t>372.78M</t>
  </si>
  <si>
    <t>289.93M</t>
  </si>
  <si>
    <t>292.13M</t>
  </si>
  <si>
    <t>234.29M</t>
  </si>
  <si>
    <t>232.94M</t>
  </si>
  <si>
    <t>286.25M</t>
  </si>
  <si>
    <t>227.44M</t>
  </si>
  <si>
    <t>287.99M</t>
  </si>
  <si>
    <t>268.79M</t>
  </si>
  <si>
    <t>365.85M</t>
  </si>
  <si>
    <t>308.90M</t>
  </si>
  <si>
    <t>303.04M</t>
  </si>
  <si>
    <t>394.39M</t>
  </si>
  <si>
    <t>291.54M</t>
  </si>
  <si>
    <t>342.53M</t>
  </si>
  <si>
    <t>244.38M</t>
  </si>
  <si>
    <t>299.20M</t>
  </si>
  <si>
    <t>254.51M</t>
  </si>
  <si>
    <t>380.36M</t>
  </si>
  <si>
    <t>272.19M</t>
  </si>
  <si>
    <t>268.94M</t>
  </si>
  <si>
    <t>240.12M</t>
  </si>
  <si>
    <t>185.38M</t>
  </si>
  <si>
    <t>225.74M</t>
  </si>
  <si>
    <t>224.57M</t>
  </si>
  <si>
    <t>244.15M</t>
  </si>
  <si>
    <t>226.92M</t>
  </si>
  <si>
    <t>213.23M</t>
  </si>
  <si>
    <t>210.07M</t>
  </si>
  <si>
    <t>314.09M</t>
  </si>
  <si>
    <t>340.28M</t>
  </si>
  <si>
    <t>271.56M</t>
  </si>
  <si>
    <t>229.33M</t>
  </si>
  <si>
    <t>325.52M</t>
  </si>
  <si>
    <t>326.60M</t>
  </si>
  <si>
    <t>750.47M</t>
  </si>
  <si>
    <t>213.03M</t>
  </si>
  <si>
    <t>210.17M</t>
  </si>
  <si>
    <t>226.54M</t>
  </si>
  <si>
    <t>287.05M</t>
  </si>
  <si>
    <t>252.34M</t>
  </si>
  <si>
    <t>363.07M</t>
  </si>
  <si>
    <t>270.16M</t>
  </si>
  <si>
    <t>236.01M</t>
  </si>
  <si>
    <t>237.00M</t>
  </si>
  <si>
    <t>241.15M</t>
  </si>
  <si>
    <t>312.63M</t>
  </si>
  <si>
    <t>616.74M</t>
  </si>
  <si>
    <t>225.09M</t>
  </si>
  <si>
    <t>251.85M</t>
  </si>
  <si>
    <t>259.33M</t>
  </si>
  <si>
    <t>263.36M</t>
  </si>
  <si>
    <t>346.30M</t>
  </si>
  <si>
    <t>243.89M</t>
  </si>
  <si>
    <t>284.66M</t>
  </si>
  <si>
    <t>262.14M</t>
  </si>
  <si>
    <t>278.14M</t>
  </si>
  <si>
    <t>338.73M</t>
  </si>
  <si>
    <t>271.54M</t>
  </si>
  <si>
    <t>483.73M</t>
  </si>
  <si>
    <t>305.22M</t>
  </si>
  <si>
    <t>316.98M</t>
  </si>
  <si>
    <t>243.41M</t>
  </si>
  <si>
    <t>228.82M</t>
  </si>
  <si>
    <t>241.34M</t>
  </si>
  <si>
    <t>259.53M</t>
  </si>
  <si>
    <t>249.99M</t>
  </si>
  <si>
    <t>219.61M</t>
  </si>
  <si>
    <t>239.08M</t>
  </si>
  <si>
    <t>210.41M</t>
  </si>
  <si>
    <t>196.05M</t>
  </si>
  <si>
    <t>193.51M</t>
  </si>
  <si>
    <t>293.43M</t>
  </si>
  <si>
    <t>309.83M</t>
  </si>
  <si>
    <t>260.67M</t>
  </si>
  <si>
    <t>270.98M</t>
  </si>
  <si>
    <t>563.96M</t>
  </si>
  <si>
    <t>428.89M</t>
  </si>
  <si>
    <t>260.58M</t>
  </si>
  <si>
    <t>450.19M</t>
  </si>
  <si>
    <t>248.53M</t>
  </si>
  <si>
    <t>574.65M</t>
  </si>
  <si>
    <t>274.62M</t>
  </si>
  <si>
    <t>237.60M</t>
  </si>
  <si>
    <t>242.42M</t>
  </si>
  <si>
    <t>305.81M</t>
  </si>
  <si>
    <t>318.71M</t>
  </si>
  <si>
    <t>328.31M</t>
  </si>
  <si>
    <t>301.25M</t>
  </si>
  <si>
    <t>307.32M</t>
  </si>
  <si>
    <t>279.22M</t>
  </si>
  <si>
    <t>335.58M</t>
  </si>
  <si>
    <t>388.41M</t>
  </si>
  <si>
    <t>280.86M</t>
  </si>
  <si>
    <t>349.29M</t>
  </si>
  <si>
    <t>311.10M</t>
  </si>
  <si>
    <t>853.89M</t>
  </si>
  <si>
    <t>345.37M</t>
  </si>
  <si>
    <t>684.43M</t>
  </si>
  <si>
    <t>525.65M</t>
  </si>
  <si>
    <t>302.80M</t>
  </si>
  <si>
    <t>270.47M</t>
  </si>
  <si>
    <t>403.28M</t>
  </si>
  <si>
    <t>332.72M</t>
  </si>
  <si>
    <t>414.80M</t>
  </si>
  <si>
    <t>255.25M</t>
  </si>
  <si>
    <t>432.72M</t>
  </si>
  <si>
    <t>500.82M</t>
  </si>
  <si>
    <t>345.49M</t>
  </si>
  <si>
    <t>422.98M</t>
  </si>
  <si>
    <t>368.71M</t>
  </si>
  <si>
    <t>335.55M</t>
  </si>
  <si>
    <t>411.36M</t>
  </si>
  <si>
    <t>330.14M</t>
  </si>
  <si>
    <t>302.35M</t>
  </si>
  <si>
    <t>291.47M</t>
  </si>
  <si>
    <t>421.11M</t>
  </si>
  <si>
    <t>424.45M</t>
  </si>
  <si>
    <t>357.56M</t>
  </si>
  <si>
    <t>320.47M</t>
  </si>
  <si>
    <t>387.74M</t>
  </si>
  <si>
    <t>358.77M</t>
  </si>
  <si>
    <t>415.04M</t>
  </si>
  <si>
    <t>440.94M</t>
  </si>
  <si>
    <t>406.15M</t>
  </si>
  <si>
    <t>505.33M</t>
  </si>
  <si>
    <t>348.42M</t>
  </si>
  <si>
    <t>388.32M</t>
  </si>
  <si>
    <t>402.16M</t>
  </si>
  <si>
    <t>383.82M</t>
  </si>
  <si>
    <t>468.25M</t>
  </si>
  <si>
    <t>647.11M</t>
  </si>
  <si>
    <t>466.78M</t>
  </si>
  <si>
    <t>283.20M</t>
  </si>
  <si>
    <t>340.97M</t>
  </si>
  <si>
    <t>314.31M</t>
  </si>
  <si>
    <t>295.36M</t>
  </si>
  <si>
    <t>510.30M</t>
  </si>
  <si>
    <t>278.59M</t>
  </si>
  <si>
    <t>311.90M</t>
  </si>
  <si>
    <t>540.97M</t>
  </si>
  <si>
    <t>313.73M</t>
  </si>
  <si>
    <t>323.99M</t>
  </si>
  <si>
    <t>272.58M</t>
  </si>
  <si>
    <t>251.10M</t>
  </si>
  <si>
    <t>287.54M</t>
  </si>
  <si>
    <t>369.74M</t>
  </si>
  <si>
    <t>347.92M</t>
  </si>
  <si>
    <t>293.86M</t>
  </si>
  <si>
    <t>289.77M</t>
  </si>
  <si>
    <t>372.08M</t>
  </si>
  <si>
    <t>305.94M</t>
  </si>
  <si>
    <t>253.26M</t>
  </si>
  <si>
    <t>282.40M</t>
  </si>
  <si>
    <t>551.29M</t>
  </si>
  <si>
    <t>289.23M</t>
  </si>
  <si>
    <t>250.28M</t>
  </si>
  <si>
    <t>214.32M</t>
  </si>
  <si>
    <t>242.75M</t>
  </si>
  <si>
    <t>240.84M</t>
  </si>
  <si>
    <t>207.00M</t>
  </si>
  <si>
    <t>210.62M</t>
  </si>
  <si>
    <t>207.39M</t>
  </si>
  <si>
    <t>254.48M</t>
  </si>
  <si>
    <t>265.71M</t>
  </si>
  <si>
    <t>279.66M</t>
  </si>
  <si>
    <t>267.97M</t>
  </si>
  <si>
    <t>234.20M</t>
  </si>
  <si>
    <t>368.09M</t>
  </si>
  <si>
    <t>306.98M</t>
  </si>
  <si>
    <t>267.01M</t>
  </si>
  <si>
    <t>376.74M</t>
  </si>
  <si>
    <t>329.67M</t>
  </si>
  <si>
    <t>281.01M</t>
  </si>
  <si>
    <t>304.86M</t>
  </si>
  <si>
    <t>361.93M</t>
  </si>
  <si>
    <t>226.31M</t>
  </si>
  <si>
    <t>361.87M</t>
  </si>
  <si>
    <t>264.34M</t>
  </si>
  <si>
    <t>275.56M</t>
  </si>
  <si>
    <t>275.95M</t>
  </si>
  <si>
    <t>312.87M</t>
  </si>
  <si>
    <t>301.46M</t>
  </si>
  <si>
    <t>272.95M</t>
  </si>
  <si>
    <t>299.42M</t>
  </si>
  <si>
    <t>228.04M</t>
  </si>
  <si>
    <t>311.24M</t>
  </si>
  <si>
    <t>316.48M</t>
  </si>
  <si>
    <t>261.02M</t>
  </si>
  <si>
    <t>269.24M</t>
  </si>
  <si>
    <t>266.38M</t>
  </si>
  <si>
    <t>262.34M</t>
  </si>
  <si>
    <t>278.06M</t>
  </si>
  <si>
    <t>312.28M</t>
  </si>
  <si>
    <t>154.92M</t>
  </si>
  <si>
    <t>193.63M</t>
  </si>
  <si>
    <t>364.93M</t>
  </si>
  <si>
    <t>176.82M</t>
  </si>
  <si>
    <t>177.68M</t>
  </si>
  <si>
    <t>177.66M</t>
  </si>
  <si>
    <t>189.76M</t>
  </si>
  <si>
    <t>442.71M</t>
  </si>
  <si>
    <t>271.13M</t>
  </si>
  <si>
    <t>235.35M</t>
  </si>
  <si>
    <t>264.88M</t>
  </si>
  <si>
    <t>187.55M</t>
  </si>
  <si>
    <t>310.08M</t>
  </si>
  <si>
    <t>266.05M</t>
  </si>
  <si>
    <t>187.25M</t>
  </si>
  <si>
    <t>261.05M</t>
  </si>
  <si>
    <t>248.14M</t>
  </si>
  <si>
    <t>226.73M</t>
  </si>
  <si>
    <t>361.47M</t>
  </si>
  <si>
    <t>348.00M</t>
  </si>
  <si>
    <t>339.47M</t>
  </si>
  <si>
    <t>220.38M</t>
  </si>
  <si>
    <t>282.10M</t>
  </si>
  <si>
    <t>366.75M</t>
  </si>
  <si>
    <t>295.01M</t>
  </si>
  <si>
    <t>230.69M</t>
  </si>
  <si>
    <t>687.17M</t>
  </si>
  <si>
    <t>367.56M</t>
  </si>
  <si>
    <t>420.33M</t>
  </si>
  <si>
    <t>297.48M</t>
  </si>
  <si>
    <t>263.31M</t>
  </si>
  <si>
    <t>257.71M</t>
  </si>
  <si>
    <t>304.57M</t>
  </si>
  <si>
    <t>255.83M</t>
  </si>
  <si>
    <t>273.37M</t>
  </si>
  <si>
    <t>298.73M</t>
  </si>
  <si>
    <t>322.19M</t>
  </si>
  <si>
    <t>351.08M</t>
  </si>
  <si>
    <t>289.51M</t>
  </si>
  <si>
    <t>285.53M</t>
  </si>
  <si>
    <t>38.81M</t>
  </si>
  <si>
    <t>287.01M</t>
  </si>
  <si>
    <t>285.20M</t>
  </si>
  <si>
    <t>332.04M</t>
  </si>
  <si>
    <t>278.56M</t>
  </si>
  <si>
    <t>372.64M</t>
  </si>
  <si>
    <t>216.69M</t>
  </si>
  <si>
    <t>284.56M</t>
  </si>
  <si>
    <t>279.48M</t>
  </si>
  <si>
    <t>241.98M</t>
  </si>
  <si>
    <t>290.86M</t>
  </si>
  <si>
    <t>252.76M</t>
  </si>
  <si>
    <t>226.77M</t>
  </si>
  <si>
    <t>257.23M</t>
  </si>
  <si>
    <t>206.42M</t>
  </si>
  <si>
    <t>210.46M</t>
  </si>
  <si>
    <t>261.36M</t>
  </si>
  <si>
    <t>290.56M</t>
  </si>
  <si>
    <t>333.22M</t>
  </si>
  <si>
    <t>374.35M</t>
  </si>
  <si>
    <t>374.91M</t>
  </si>
  <si>
    <t>423.40M</t>
  </si>
  <si>
    <t>247.42M</t>
  </si>
  <si>
    <t>343.06M</t>
  </si>
  <si>
    <t>490.33M</t>
  </si>
  <si>
    <t>370.90M</t>
  </si>
  <si>
    <t>278.54M</t>
  </si>
  <si>
    <t>384.12M</t>
  </si>
  <si>
    <t>209.19M</t>
  </si>
  <si>
    <t>533.07M</t>
  </si>
  <si>
    <t>314.46M</t>
  </si>
  <si>
    <t>215.73M</t>
  </si>
  <si>
    <t>215.96M</t>
  </si>
  <si>
    <t>168.69M</t>
  </si>
  <si>
    <t>250.78M</t>
  </si>
  <si>
    <t>380.07M</t>
  </si>
  <si>
    <t>279.23M</t>
  </si>
  <si>
    <t>251.27M</t>
  </si>
  <si>
    <t>254.37M</t>
  </si>
  <si>
    <t>311.67M</t>
  </si>
  <si>
    <t>222.24M</t>
  </si>
  <si>
    <t>253.79M</t>
  </si>
  <si>
    <t>212.13M</t>
  </si>
  <si>
    <t>222.82M</t>
  </si>
  <si>
    <t>638.17M</t>
  </si>
  <si>
    <t>353.99M</t>
  </si>
  <si>
    <t>220.42M</t>
  </si>
  <si>
    <t>223.35M</t>
  </si>
  <si>
    <t>210.27M</t>
  </si>
  <si>
    <t>206.80M</t>
  </si>
  <si>
    <t>220.35M</t>
  </si>
  <si>
    <t>257.11M</t>
  </si>
  <si>
    <t>238.32M</t>
  </si>
  <si>
    <t>243.65M</t>
  </si>
  <si>
    <t>271.61M</t>
  </si>
  <si>
    <t>303.25M</t>
  </si>
  <si>
    <t>239.73M</t>
  </si>
  <si>
    <t>279.93M</t>
  </si>
  <si>
    <t>215.13M</t>
  </si>
  <si>
    <t>311.88M</t>
  </si>
  <si>
    <t>317.56M</t>
  </si>
  <si>
    <t>312.34M</t>
  </si>
  <si>
    <t>486.99M</t>
  </si>
  <si>
    <t>345.03M</t>
  </si>
  <si>
    <t>431.31M</t>
  </si>
  <si>
    <t>333.65M</t>
  </si>
  <si>
    <t>384.99M</t>
  </si>
  <si>
    <t>354.97M</t>
  </si>
  <si>
    <t>383.83M</t>
  </si>
  <si>
    <t>391.82M</t>
  </si>
  <si>
    <t>366.62M</t>
  </si>
  <si>
    <t>436.41M</t>
  </si>
  <si>
    <t>324.19M</t>
  </si>
  <si>
    <t>343.77M</t>
  </si>
  <si>
    <t>350.92M</t>
  </si>
  <si>
    <t>283.21M</t>
  </si>
  <si>
    <t>305.40M</t>
  </si>
  <si>
    <t>325.82M</t>
  </si>
  <si>
    <t>306.40M</t>
  </si>
  <si>
    <t>292.26M</t>
  </si>
  <si>
    <t>250.54M</t>
  </si>
  <si>
    <t>266.30M</t>
  </si>
  <si>
    <t>298.38M</t>
  </si>
  <si>
    <t>251.19M</t>
  </si>
  <si>
    <t>289.20M</t>
  </si>
  <si>
    <t>309.63M</t>
  </si>
  <si>
    <t>242.47M</t>
  </si>
  <si>
    <t>354.78M</t>
  </si>
  <si>
    <t>515.23M</t>
  </si>
  <si>
    <t>287.82M</t>
  </si>
  <si>
    <t>298.11M</t>
  </si>
  <si>
    <t>239.36M</t>
  </si>
  <si>
    <t>609.88M</t>
  </si>
  <si>
    <t>280.34M</t>
  </si>
  <si>
    <t>328.81M</t>
  </si>
  <si>
    <t>272.21M</t>
  </si>
  <si>
    <t>223.09M</t>
  </si>
  <si>
    <t>268.28M</t>
  </si>
  <si>
    <t>295.63M</t>
  </si>
  <si>
    <t>305.19M</t>
  </si>
  <si>
    <t>304.39M</t>
  </si>
  <si>
    <t>473.55M</t>
  </si>
  <si>
    <t>480.41M</t>
  </si>
  <si>
    <t>638.49M</t>
  </si>
  <si>
    <t>1.01B</t>
  </si>
  <si>
    <t>569.43M</t>
  </si>
  <si>
    <t>572.12M</t>
  </si>
  <si>
    <t>373.37M</t>
  </si>
  <si>
    <t>269.93M</t>
  </si>
  <si>
    <t>217.89M</t>
  </si>
  <si>
    <t>260.01M</t>
  </si>
  <si>
    <t>261.93M</t>
  </si>
  <si>
    <t>369.77M</t>
  </si>
  <si>
    <t>290.35M</t>
  </si>
  <si>
    <t>347.59M</t>
  </si>
  <si>
    <t>19.06M</t>
  </si>
  <si>
    <t>242.65M</t>
  </si>
  <si>
    <t>368.95M</t>
  </si>
  <si>
    <t>231.94M</t>
  </si>
  <si>
    <t>230.24M</t>
  </si>
  <si>
    <t>278.19M</t>
  </si>
  <si>
    <t>265.80M</t>
  </si>
  <si>
    <t>331.33M</t>
  </si>
  <si>
    <t>277.44M</t>
  </si>
  <si>
    <t>297.82M</t>
  </si>
  <si>
    <t>320.26M</t>
  </si>
  <si>
    <t>438.06M</t>
  </si>
  <si>
    <t>445.91M</t>
  </si>
  <si>
    <t>361.86M</t>
  </si>
  <si>
    <t>291.96M</t>
  </si>
  <si>
    <t>329.89M</t>
  </si>
  <si>
    <t>475.04M</t>
  </si>
  <si>
    <t>235.90M</t>
  </si>
  <si>
    <t>231.52M</t>
  </si>
  <si>
    <t>279.26M</t>
  </si>
  <si>
    <t>362.53M</t>
  </si>
  <si>
    <t>456.91M</t>
  </si>
  <si>
    <t>317.27M</t>
  </si>
  <si>
    <t>355.47M</t>
  </si>
  <si>
    <t>357.19M</t>
  </si>
  <si>
    <t>276.85M</t>
  </si>
  <si>
    <t>232.36M</t>
  </si>
  <si>
    <t>227.63M</t>
  </si>
  <si>
    <t>242.24M</t>
  </si>
  <si>
    <t>400.99M</t>
  </si>
  <si>
    <t>309.65M</t>
  </si>
  <si>
    <t>289.52M</t>
  </si>
  <si>
    <t>243.64M</t>
  </si>
  <si>
    <t>410.53M</t>
  </si>
  <si>
    <t>409.14M</t>
  </si>
  <si>
    <t>328.40M</t>
  </si>
  <si>
    <t>388.66M</t>
  </si>
  <si>
    <t>353.17M</t>
  </si>
  <si>
    <t>312.41M</t>
  </si>
  <si>
    <t>344.16M</t>
  </si>
  <si>
    <t>356.32M</t>
  </si>
  <si>
    <t>661.46M</t>
  </si>
  <si>
    <t>426.74M</t>
  </si>
  <si>
    <t>493.34M</t>
  </si>
  <si>
    <t>277.90M</t>
  </si>
  <si>
    <t>379.87M</t>
  </si>
  <si>
    <t>312.26M</t>
  </si>
  <si>
    <t>296.15M</t>
  </si>
  <si>
    <t>298.79M</t>
  </si>
  <si>
    <t>35.76M</t>
  </si>
  <si>
    <t>351.50M</t>
  </si>
  <si>
    <t>360.17M</t>
  </si>
  <si>
    <t>202.95M</t>
  </si>
  <si>
    <t>252.20M</t>
  </si>
  <si>
    <t>207.78M</t>
  </si>
  <si>
    <t>225.98M</t>
  </si>
  <si>
    <t>343.50M</t>
  </si>
  <si>
    <t>364.55M</t>
  </si>
  <si>
    <t>295.71M</t>
  </si>
  <si>
    <t>343.89M</t>
  </si>
  <si>
    <t>345.39M</t>
  </si>
  <si>
    <t>359.12M</t>
  </si>
  <si>
    <t>365.79M</t>
  </si>
  <si>
    <t>287.44M</t>
  </si>
  <si>
    <t>349.22M</t>
  </si>
  <si>
    <t>491.07M</t>
  </si>
  <si>
    <t>346.26M</t>
  </si>
  <si>
    <t>370.97M</t>
  </si>
  <si>
    <t>440.85M</t>
  </si>
  <si>
    <t>442.79M</t>
  </si>
  <si>
    <t>332.54M</t>
  </si>
  <si>
    <t>410.58M</t>
  </si>
  <si>
    <t>375.14M</t>
  </si>
  <si>
    <t>376.70M</t>
  </si>
  <si>
    <t>418.14M</t>
  </si>
  <si>
    <t>407.46M</t>
  </si>
  <si>
    <t>449.72M</t>
  </si>
  <si>
    <t>387.34M</t>
  </si>
  <si>
    <t>456.00M</t>
  </si>
  <si>
    <t>292.43M</t>
  </si>
  <si>
    <t>345.54M</t>
  </si>
  <si>
    <t>294.68M</t>
  </si>
  <si>
    <t>212.45M</t>
  </si>
  <si>
    <t>216.99M</t>
  </si>
  <si>
    <t>228.57M</t>
  </si>
  <si>
    <t>231.45M</t>
  </si>
  <si>
    <t>309.30M</t>
  </si>
  <si>
    <t>339.17M</t>
  </si>
  <si>
    <t>311.93M</t>
  </si>
  <si>
    <t>263.71M</t>
  </si>
  <si>
    <t>154.00M</t>
  </si>
  <si>
    <t>270.92M</t>
  </si>
  <si>
    <t>393.08M</t>
  </si>
  <si>
    <t>256.54M</t>
  </si>
  <si>
    <t>219.47M</t>
  </si>
  <si>
    <t>284.71M</t>
  </si>
  <si>
    <t>277.55M</t>
  </si>
  <si>
    <t>363.89M</t>
  </si>
  <si>
    <t>249.75M</t>
  </si>
  <si>
    <t>249.67M</t>
  </si>
  <si>
    <t>508.76M</t>
  </si>
  <si>
    <t>334.41M</t>
  </si>
  <si>
    <t>260.27M</t>
  </si>
  <si>
    <t>244.87M</t>
  </si>
  <si>
    <t>212.92M</t>
  </si>
  <si>
    <t>292.44M</t>
  </si>
  <si>
    <t>274.99M</t>
  </si>
  <si>
    <t>359.21M</t>
  </si>
  <si>
    <t>421.01M</t>
  </si>
  <si>
    <t>381.11M</t>
  </si>
  <si>
    <t>265.81M</t>
  </si>
  <si>
    <t>486.59M</t>
  </si>
  <si>
    <t>236.24M</t>
  </si>
  <si>
    <t>229.60M</t>
  </si>
  <si>
    <t>145.90M</t>
  </si>
  <si>
    <t>170.02M</t>
  </si>
  <si>
    <t>184.50M</t>
  </si>
  <si>
    <t>194.97M</t>
  </si>
  <si>
    <t>173.78M</t>
  </si>
  <si>
    <t>236.83M</t>
  </si>
  <si>
    <t>282.69M</t>
  </si>
  <si>
    <t>291.46M</t>
  </si>
  <si>
    <t>189.28M</t>
  </si>
  <si>
    <t>37.31M</t>
  </si>
  <si>
    <t>152.22M</t>
  </si>
  <si>
    <t>208.42M</t>
  </si>
  <si>
    <t>198.66M</t>
  </si>
  <si>
    <t>180.69M</t>
  </si>
  <si>
    <t>189.52M</t>
  </si>
  <si>
    <t>245.60M</t>
  </si>
  <si>
    <t>194.10M</t>
  </si>
  <si>
    <t>206.05M</t>
  </si>
  <si>
    <t>180.13M</t>
  </si>
  <si>
    <t>205.20M</t>
  </si>
  <si>
    <t>300.36M</t>
  </si>
  <si>
    <t>225.29M</t>
  </si>
  <si>
    <t>176.04M</t>
  </si>
  <si>
    <t>198.34M</t>
  </si>
  <si>
    <t>230.31M</t>
  </si>
  <si>
    <t>198.94M</t>
  </si>
  <si>
    <t>185.85M</t>
  </si>
  <si>
    <t>180.96M</t>
  </si>
  <si>
    <t>254.96M</t>
  </si>
  <si>
    <t>217.90M</t>
  </si>
  <si>
    <t>213.73M</t>
  </si>
  <si>
    <t>216.56M</t>
  </si>
  <si>
    <t>165.09M</t>
  </si>
  <si>
    <t>159.05M</t>
  </si>
  <si>
    <t>234.87M</t>
  </si>
  <si>
    <t>277.15M</t>
  </si>
  <si>
    <t>221.72M</t>
  </si>
  <si>
    <t>243.51M</t>
  </si>
  <si>
    <t>352.81M</t>
  </si>
  <si>
    <t>203.56M</t>
  </si>
  <si>
    <t>204.87M</t>
  </si>
  <si>
    <t>188.40M</t>
  </si>
  <si>
    <t>246.41M</t>
  </si>
  <si>
    <t>275.13M</t>
  </si>
  <si>
    <t>378.07M</t>
  </si>
  <si>
    <t>264.87M</t>
  </si>
  <si>
    <t>438.19M</t>
  </si>
  <si>
    <t>275.11M</t>
  </si>
  <si>
    <t>251.39M</t>
  </si>
  <si>
    <t>328.06M</t>
  </si>
  <si>
    <t>248.76M</t>
  </si>
  <si>
    <t>288.09M</t>
  </si>
  <si>
    <t>304.93M</t>
  </si>
  <si>
    <t>287.56M</t>
  </si>
  <si>
    <t>256.83M</t>
  </si>
  <si>
    <t>296.82M</t>
  </si>
  <si>
    <t>333.02M</t>
  </si>
  <si>
    <t>562.56M</t>
  </si>
  <si>
    <t>233.00M</t>
  </si>
  <si>
    <t>307.39M</t>
  </si>
  <si>
    <t>248.18M</t>
  </si>
  <si>
    <t>466.52M</t>
  </si>
  <si>
    <t>268.26M</t>
  </si>
  <si>
    <t>225.22M</t>
  </si>
  <si>
    <t>208.70M</t>
  </si>
  <si>
    <t>262.59M</t>
  </si>
  <si>
    <t>256.14M</t>
  </si>
  <si>
    <t>268.66M</t>
  </si>
  <si>
    <t>226.63M</t>
  </si>
  <si>
    <t>243.85M</t>
  </si>
  <si>
    <t>235.52M</t>
  </si>
  <si>
    <t>312.19M</t>
  </si>
  <si>
    <t>266.50M</t>
  </si>
  <si>
    <t>260.29M</t>
  </si>
  <si>
    <t>216.59M</t>
  </si>
  <si>
    <t>280.80M</t>
  </si>
  <si>
    <t>315.69M</t>
  </si>
  <si>
    <t>290.67M</t>
  </si>
  <si>
    <t>298.05M</t>
  </si>
  <si>
    <t>295.05M</t>
  </si>
  <si>
    <t>258.67M</t>
  </si>
  <si>
    <t>334.89M</t>
  </si>
  <si>
    <t>244.75M</t>
  </si>
  <si>
    <t>369.65M</t>
  </si>
  <si>
    <t>265.56M</t>
  </si>
  <si>
    <t>312.46M</t>
  </si>
  <si>
    <t>274.70M</t>
  </si>
  <si>
    <t>259.66M</t>
  </si>
  <si>
    <t>286.35M</t>
  </si>
  <si>
    <t>268.71M</t>
  </si>
  <si>
    <t>291.17M</t>
  </si>
  <si>
    <t>310.44M</t>
  </si>
  <si>
    <t>327.94M</t>
  </si>
  <si>
    <t>251.26M</t>
  </si>
  <si>
    <t>268.25M</t>
  </si>
  <si>
    <t>237.10M</t>
  </si>
  <si>
    <t>224.42M</t>
  </si>
  <si>
    <t>226.05M</t>
  </si>
  <si>
    <t>247.91M</t>
  </si>
  <si>
    <t>398.78M</t>
  </si>
  <si>
    <t>222.46M</t>
  </si>
  <si>
    <t>171.27M</t>
  </si>
  <si>
    <t>210.56M</t>
  </si>
  <si>
    <t>252.70M</t>
  </si>
  <si>
    <t>217.48M</t>
  </si>
  <si>
    <t>211.65M</t>
  </si>
  <si>
    <t>219.82M</t>
  </si>
  <si>
    <t>272.77M</t>
  </si>
  <si>
    <t>263.00M</t>
  </si>
  <si>
    <t>261.35M</t>
  </si>
  <si>
    <t>233.17M</t>
  </si>
  <si>
    <t>179.46M</t>
  </si>
  <si>
    <t>221.76M</t>
  </si>
  <si>
    <t>286.47M</t>
  </si>
  <si>
    <t>260.11M</t>
  </si>
  <si>
    <t>220.79M</t>
  </si>
  <si>
    <t>256.11M</t>
  </si>
  <si>
    <t>265.63M</t>
  </si>
  <si>
    <t>696.50M</t>
  </si>
  <si>
    <t>234.39M</t>
  </si>
  <si>
    <t>265.32M</t>
  </si>
  <si>
    <t>198.67M</t>
  </si>
  <si>
    <t>235.92M</t>
  </si>
  <si>
    <t>232.62M</t>
  </si>
  <si>
    <t>270.35M</t>
  </si>
  <si>
    <t>262.56M</t>
  </si>
  <si>
    <t>260.90M</t>
  </si>
  <si>
    <t>272.10M</t>
  </si>
  <si>
    <t>229.90M</t>
  </si>
  <si>
    <t>219.49M</t>
  </si>
  <si>
    <t>216.09M</t>
  </si>
  <si>
    <t>241.70M</t>
  </si>
  <si>
    <t>248.93M</t>
  </si>
  <si>
    <t>220.45M</t>
  </si>
  <si>
    <t>245.37M</t>
  </si>
  <si>
    <t>228.40M</t>
  </si>
  <si>
    <t>239.70M</t>
  </si>
  <si>
    <t>226.64M</t>
  </si>
  <si>
    <t>226.17M</t>
  </si>
  <si>
    <t>265.22M</t>
  </si>
  <si>
    <t>290.26M</t>
  </si>
  <si>
    <t>241.43M</t>
  </si>
  <si>
    <t>233.01M</t>
  </si>
  <si>
    <t>297.45M</t>
  </si>
  <si>
    <t>255.74M</t>
  </si>
  <si>
    <t>230.16M</t>
  </si>
  <si>
    <t>215.10M</t>
  </si>
  <si>
    <t>281.46M</t>
  </si>
  <si>
    <t>258.86M</t>
  </si>
  <si>
    <t>357.40M</t>
  </si>
  <si>
    <t>285.76M</t>
  </si>
  <si>
    <t>232.82M</t>
  </si>
  <si>
    <t>304.26M</t>
  </si>
  <si>
    <t>242.71M</t>
  </si>
  <si>
    <t>248.35M</t>
  </si>
  <si>
    <t>230.17M</t>
  </si>
  <si>
    <t>263.89M</t>
  </si>
  <si>
    <t>345.91M</t>
  </si>
  <si>
    <t>238.84M</t>
  </si>
  <si>
    <t>218.42M</t>
  </si>
  <si>
    <t>219.17M</t>
  </si>
  <si>
    <t>246.74M</t>
  </si>
  <si>
    <t>241.78M</t>
  </si>
  <si>
    <t>408.12M</t>
  </si>
  <si>
    <t>349.82M</t>
  </si>
  <si>
    <t>248.19M</t>
  </si>
  <si>
    <t>290.60M</t>
  </si>
  <si>
    <t>254.91M</t>
  </si>
  <si>
    <t>235.93M</t>
  </si>
  <si>
    <t>262.35M</t>
  </si>
  <si>
    <t>267.04M</t>
  </si>
  <si>
    <t>362.80M</t>
  </si>
  <si>
    <t>356.17M</t>
  </si>
  <si>
    <t>310.67M</t>
  </si>
  <si>
    <t>272.88M</t>
  </si>
  <si>
    <t>420.88M</t>
  </si>
  <si>
    <t>246.45M</t>
  </si>
  <si>
    <t>209.41M</t>
  </si>
  <si>
    <t>240.81M</t>
  </si>
  <si>
    <t>204.02M</t>
  </si>
  <si>
    <t>198.25M</t>
  </si>
  <si>
    <t>174.56M</t>
  </si>
  <si>
    <t>208.05M</t>
  </si>
  <si>
    <t>230.25M</t>
  </si>
  <si>
    <t>229.27M</t>
  </si>
  <si>
    <t>244.51M</t>
  </si>
  <si>
    <t>231.28M</t>
  </si>
  <si>
    <t>231.99M</t>
  </si>
  <si>
    <t>260.85M</t>
  </si>
  <si>
    <t>290.99M</t>
  </si>
  <si>
    <t>354.40M</t>
  </si>
  <si>
    <t>282.54M</t>
  </si>
  <si>
    <t>424.12M</t>
  </si>
  <si>
    <t>490.11M</t>
  </si>
  <si>
    <t>512.87M</t>
  </si>
  <si>
    <t>398.34M</t>
  </si>
  <si>
    <t>432.43M</t>
  </si>
  <si>
    <t>476.34M</t>
  </si>
  <si>
    <t>216.91M</t>
  </si>
  <si>
    <t>202.46M</t>
  </si>
  <si>
    <t>237.23M</t>
  </si>
  <si>
    <t>237.83M</t>
  </si>
  <si>
    <t>255.84M</t>
  </si>
  <si>
    <t>219.06M</t>
  </si>
  <si>
    <t>206.20M</t>
  </si>
  <si>
    <t>256.70M</t>
  </si>
  <si>
    <t>227.77M</t>
  </si>
  <si>
    <t>259.85M</t>
  </si>
  <si>
    <t>283.28M</t>
  </si>
  <si>
    <t>257.24M</t>
  </si>
  <si>
    <t>238.22M</t>
  </si>
  <si>
    <t>269.95M</t>
  </si>
  <si>
    <t>235.16M</t>
  </si>
  <si>
    <t>256.07M</t>
  </si>
  <si>
    <t>192.01M</t>
  </si>
  <si>
    <t>281.05M</t>
  </si>
  <si>
    <t>193.87M</t>
  </si>
  <si>
    <t>214.26M</t>
  </si>
  <si>
    <t>176.65M</t>
  </si>
  <si>
    <t>221.45M</t>
  </si>
  <si>
    <t>195.70M</t>
  </si>
  <si>
    <t>187.59M</t>
  </si>
  <si>
    <t>169.04M</t>
  </si>
  <si>
    <t>154.85M</t>
  </si>
  <si>
    <t>277.65M</t>
  </si>
  <si>
    <t>183.13M</t>
  </si>
  <si>
    <t>208.03M</t>
  </si>
  <si>
    <t>193.88M</t>
  </si>
  <si>
    <t>215.84M</t>
  </si>
  <si>
    <t>202.81M</t>
  </si>
  <si>
    <t>200.50M</t>
  </si>
  <si>
    <t>217.78M</t>
  </si>
  <si>
    <t>288.39M</t>
  </si>
  <si>
    <t>254.40M</t>
  </si>
  <si>
    <t>324.96M</t>
  </si>
  <si>
    <t>345.64M</t>
  </si>
  <si>
    <t>195.26M</t>
  </si>
  <si>
    <t>206.47M</t>
  </si>
  <si>
    <t>205.88M</t>
  </si>
  <si>
    <t>204.04M</t>
  </si>
  <si>
    <t>178.79M</t>
  </si>
  <si>
    <t>213.80M</t>
  </si>
  <si>
    <t>198.80M</t>
  </si>
  <si>
    <t>200.51M</t>
  </si>
  <si>
    <t>219.27M</t>
  </si>
  <si>
    <t>250.93M</t>
  </si>
  <si>
    <t>301.40M</t>
  </si>
  <si>
    <t>378.47M</t>
  </si>
  <si>
    <t>256.45M</t>
  </si>
  <si>
    <t>307.16M</t>
  </si>
  <si>
    <t>314.76M</t>
  </si>
  <si>
    <t>267.94M</t>
  </si>
  <si>
    <t>212.97M</t>
  </si>
  <si>
    <t>270.88M</t>
  </si>
  <si>
    <t>349.92M</t>
  </si>
  <si>
    <t>227.18M</t>
  </si>
  <si>
    <t>250.03M</t>
  </si>
  <si>
    <t>324.65M</t>
  </si>
  <si>
    <t>251.36M</t>
  </si>
  <si>
    <t>45.03M</t>
  </si>
  <si>
    <t>277.70M</t>
  </si>
  <si>
    <t>249.60M</t>
  </si>
  <si>
    <t>210.48M</t>
  </si>
  <si>
    <t>239.49M</t>
  </si>
  <si>
    <t>212.22M</t>
  </si>
  <si>
    <t>227.00M</t>
  </si>
  <si>
    <t>266.44M</t>
  </si>
  <si>
    <t>256.04M</t>
  </si>
  <si>
    <t>282.62M</t>
  </si>
  <si>
    <t>234.01M</t>
  </si>
  <si>
    <t>216.27M</t>
  </si>
  <si>
    <t>265.45M</t>
  </si>
  <si>
    <t>226.02M</t>
  </si>
  <si>
    <t>278.37M</t>
  </si>
  <si>
    <t>376.12M</t>
  </si>
  <si>
    <t>340.03M</t>
  </si>
  <si>
    <t>323.92M</t>
  </si>
  <si>
    <t>359.90M</t>
  </si>
  <si>
    <t>492.00M</t>
  </si>
  <si>
    <t>390.76M</t>
  </si>
  <si>
    <t>284.09M</t>
  </si>
  <si>
    <t>245.53M</t>
  </si>
  <si>
    <t>263.10M</t>
  </si>
  <si>
    <t>258.33M</t>
  </si>
  <si>
    <t>468.46M</t>
  </si>
  <si>
    <t>289.64M</t>
  </si>
  <si>
    <t>365.87M</t>
  </si>
  <si>
    <t>259.92M</t>
  </si>
  <si>
    <t>228.24M</t>
  </si>
  <si>
    <t>270.30M</t>
  </si>
  <si>
    <t>279.85M</t>
  </si>
  <si>
    <t>354.14M</t>
  </si>
  <si>
    <t>251.20M</t>
  </si>
  <si>
    <t>256.27M</t>
  </si>
  <si>
    <t>308.53M</t>
  </si>
  <si>
    <t>324.69M</t>
  </si>
  <si>
    <t>244.86M</t>
  </si>
  <si>
    <t>266.64M</t>
  </si>
  <si>
    <t>230.18M</t>
  </si>
  <si>
    <t>261.95M</t>
  </si>
  <si>
    <t>285.62M</t>
  </si>
  <si>
    <t>263.91M</t>
  </si>
  <si>
    <t>262.77M</t>
  </si>
  <si>
    <t>303.87M</t>
  </si>
  <si>
    <t>311.25M</t>
  </si>
  <si>
    <t>312.72M</t>
  </si>
  <si>
    <t>256.99M</t>
  </si>
  <si>
    <t>355.31M</t>
  </si>
  <si>
    <t>324.98M</t>
  </si>
  <si>
    <t>285.42M</t>
  </si>
  <si>
    <t>333.64M</t>
  </si>
  <si>
    <t>381.53M</t>
  </si>
  <si>
    <t>436.06M</t>
  </si>
  <si>
    <t>376.26M</t>
  </si>
  <si>
    <t>185.21M</t>
  </si>
  <si>
    <t>208.21M</t>
  </si>
  <si>
    <t>211.39M</t>
  </si>
  <si>
    <t>190.91M</t>
  </si>
  <si>
    <t>243.62M</t>
  </si>
  <si>
    <t>284.36M</t>
  </si>
  <si>
    <t>222.63M</t>
  </si>
  <si>
    <t>227.74M</t>
  </si>
  <si>
    <t>205.77M</t>
  </si>
  <si>
    <t>228.60M</t>
  </si>
  <si>
    <t>233.26M</t>
  </si>
  <si>
    <t>208.65M</t>
  </si>
  <si>
    <t>255.92M</t>
  </si>
  <si>
    <t>281.10M</t>
  </si>
  <si>
    <t>264.62M</t>
  </si>
  <si>
    <t>288.38M</t>
  </si>
  <si>
    <t>254.16M</t>
  </si>
  <si>
    <t>304.33M</t>
  </si>
  <si>
    <t>364.09M</t>
  </si>
  <si>
    <t>306.03M</t>
  </si>
  <si>
    <t>444.95M</t>
  </si>
  <si>
    <t>251.87M</t>
  </si>
  <si>
    <t>210.93M</t>
  </si>
  <si>
    <t>219.60M</t>
  </si>
  <si>
    <t>259.17M</t>
  </si>
  <si>
    <t>220.89M</t>
  </si>
  <si>
    <t>262.79M</t>
  </si>
  <si>
    <t>260.02M</t>
  </si>
  <si>
    <t>342.63M</t>
  </si>
  <si>
    <t>264.74M</t>
  </si>
  <si>
    <t>183.01M</t>
  </si>
  <si>
    <t>225.53M</t>
  </si>
  <si>
    <t>189.68M</t>
  </si>
  <si>
    <t>204.95M</t>
  </si>
  <si>
    <t>243.48M</t>
  </si>
  <si>
    <t>233.81M</t>
  </si>
  <si>
    <t>233.59M</t>
  </si>
  <si>
    <t>245.51M</t>
  </si>
  <si>
    <t>235.96M</t>
  </si>
  <si>
    <t>249.62M</t>
  </si>
  <si>
    <t>651.61M</t>
  </si>
  <si>
    <t>251.40M</t>
  </si>
  <si>
    <t>274.06M</t>
  </si>
  <si>
    <t>243.34M</t>
  </si>
  <si>
    <t>249.78M</t>
  </si>
  <si>
    <t>293.83M</t>
  </si>
  <si>
    <t>252.40M</t>
  </si>
  <si>
    <t>313.88M</t>
  </si>
  <si>
    <t>290.44M</t>
  </si>
  <si>
    <t>295.69M</t>
  </si>
  <si>
    <t>217.65M</t>
  </si>
  <si>
    <t>369.14M</t>
  </si>
  <si>
    <t>314.92M</t>
  </si>
  <si>
    <t>284.29M</t>
  </si>
  <si>
    <t>283.06M</t>
  </si>
  <si>
    <t>288.40M</t>
  </si>
  <si>
    <t>300.53M</t>
  </si>
  <si>
    <t>265.79M</t>
  </si>
  <si>
    <t>310.63M</t>
  </si>
  <si>
    <t>278.16M</t>
  </si>
  <si>
    <t>336.24M</t>
  </si>
  <si>
    <t>312.91M</t>
  </si>
  <si>
    <t>265.14M</t>
  </si>
  <si>
    <t>261.07M</t>
  </si>
  <si>
    <t>275.69M</t>
  </si>
  <si>
    <t>262.74M</t>
  </si>
  <si>
    <t>286.07M</t>
  </si>
  <si>
    <t>401.40M</t>
  </si>
  <si>
    <t>376.13M</t>
  </si>
  <si>
    <t>245.06M</t>
  </si>
  <si>
    <t>266.03M</t>
  </si>
  <si>
    <t>251.70M</t>
  </si>
  <si>
    <t>274.45M</t>
  </si>
  <si>
    <t>308.84M</t>
  </si>
  <si>
    <t>328.82M</t>
  </si>
  <si>
    <t>283.45M</t>
  </si>
  <si>
    <t>345.53M</t>
  </si>
  <si>
    <t>291.77M</t>
  </si>
  <si>
    <t>281.11M</t>
  </si>
  <si>
    <t>505.03M</t>
  </si>
  <si>
    <t>235.15M</t>
  </si>
  <si>
    <t>253.24M</t>
  </si>
  <si>
    <t>237.12M</t>
  </si>
  <si>
    <t>290.28M</t>
  </si>
  <si>
    <t>292.12M</t>
  </si>
  <si>
    <t>338.26M</t>
  </si>
  <si>
    <t>285.45M</t>
  </si>
  <si>
    <t>448.34M</t>
  </si>
  <si>
    <t>259.97M</t>
  </si>
  <si>
    <t>381.63M</t>
  </si>
  <si>
    <t>314.67M</t>
  </si>
  <si>
    <t>343.72M</t>
  </si>
  <si>
    <t>486.45M</t>
  </si>
  <si>
    <t>462.23M</t>
  </si>
  <si>
    <t>543.60M</t>
  </si>
  <si>
    <t>585.40M</t>
  </si>
  <si>
    <t>456.14M</t>
  </si>
  <si>
    <t>442.07M</t>
  </si>
  <si>
    <t>517.72M</t>
  </si>
  <si>
    <t>404.21M</t>
  </si>
  <si>
    <t>329.78M</t>
  </si>
  <si>
    <t>457.97M</t>
  </si>
  <si>
    <t>200.23M</t>
  </si>
  <si>
    <t>300.13M</t>
  </si>
  <si>
    <t>215.18M</t>
  </si>
  <si>
    <t>189.62M</t>
  </si>
  <si>
    <t>232.14M</t>
  </si>
  <si>
    <t>244.55M</t>
  </si>
  <si>
    <t>298.66M</t>
  </si>
  <si>
    <t>305.51M</t>
  </si>
  <si>
    <t>253.14M</t>
  </si>
  <si>
    <t>273.61M</t>
  </si>
  <si>
    <t>236.35M</t>
  </si>
  <si>
    <t>268.53M</t>
  </si>
  <si>
    <t>265.04M</t>
  </si>
  <si>
    <t>261.43M</t>
  </si>
  <si>
    <t>226.61M</t>
  </si>
  <si>
    <t>271.21M</t>
  </si>
  <si>
    <t>386.39M</t>
  </si>
  <si>
    <t>321.66M</t>
  </si>
  <si>
    <t>355.28M</t>
  </si>
  <si>
    <t>395.60M</t>
  </si>
  <si>
    <t>326.52M</t>
  </si>
  <si>
    <t>323.85M</t>
  </si>
  <si>
    <t>258.09M</t>
  </si>
  <si>
    <t>276.66M</t>
  </si>
  <si>
    <t>227.51M</t>
  </si>
  <si>
    <t>266.70M</t>
  </si>
  <si>
    <t>229.45M</t>
  </si>
  <si>
    <t>303.70M</t>
  </si>
  <si>
    <t>244.97M</t>
  </si>
  <si>
    <t>220.24M</t>
  </si>
  <si>
    <t>232.42M</t>
  </si>
  <si>
    <t>239.34M</t>
  </si>
  <si>
    <t>236.45M</t>
  </si>
  <si>
    <t>251.46M</t>
  </si>
  <si>
    <t>247.44M</t>
  </si>
  <si>
    <t>200.46M</t>
  </si>
  <si>
    <t>167.03M</t>
  </si>
  <si>
    <t>320.83M</t>
  </si>
  <si>
    <t>161.68M</t>
  </si>
  <si>
    <t>176.03M</t>
  </si>
  <si>
    <t>144.78M</t>
  </si>
  <si>
    <t>182.56M</t>
  </si>
  <si>
    <t>196.97M</t>
  </si>
  <si>
    <t>207.95M</t>
  </si>
  <si>
    <t>241.03M</t>
  </si>
  <si>
    <t>330.61M</t>
  </si>
  <si>
    <t>354.59M</t>
  </si>
  <si>
    <t>219.50M</t>
  </si>
  <si>
    <t>214.97M</t>
  </si>
  <si>
    <t>270.97M</t>
  </si>
  <si>
    <t>256.56M</t>
  </si>
  <si>
    <t>204.47M</t>
  </si>
  <si>
    <t>237.17M</t>
  </si>
  <si>
    <t>257.79M</t>
  </si>
  <si>
    <t>254.14M</t>
  </si>
  <si>
    <t>231.72M</t>
  </si>
  <si>
    <t>292.53M</t>
  </si>
  <si>
    <t>279.87M</t>
  </si>
  <si>
    <t>295.54M</t>
  </si>
  <si>
    <t>498.00M</t>
  </si>
  <si>
    <t>348.89M</t>
  </si>
  <si>
    <t>356.33M</t>
  </si>
  <si>
    <t>255.95M</t>
  </si>
  <si>
    <t>356.40M</t>
  </si>
  <si>
    <t>278.43M</t>
  </si>
  <si>
    <t>295.72M</t>
  </si>
  <si>
    <t>267.43M</t>
  </si>
  <si>
    <t>280.43M</t>
  </si>
  <si>
    <t>249.11M</t>
  </si>
  <si>
    <t>232.12M</t>
  </si>
  <si>
    <t>261.45M</t>
  </si>
  <si>
    <t>270.20M</t>
  </si>
  <si>
    <t>338.92M</t>
  </si>
  <si>
    <t>48.52M</t>
  </si>
  <si>
    <t>331.00M</t>
  </si>
  <si>
    <t>296.44M</t>
  </si>
  <si>
    <t>281.19M</t>
  </si>
  <si>
    <t>336.47M</t>
  </si>
  <si>
    <t>374.21M</t>
  </si>
  <si>
    <t>335.25M</t>
  </si>
  <si>
    <t>341.38M</t>
  </si>
  <si>
    <t>418.70M</t>
  </si>
  <si>
    <t>324.75M</t>
  </si>
  <si>
    <t>365.90M</t>
  </si>
  <si>
    <t>371.28M</t>
  </si>
  <si>
    <t>368.23M</t>
  </si>
  <si>
    <t>469.88M</t>
  </si>
  <si>
    <t>538.71M</t>
  </si>
  <si>
    <t>506.68M</t>
  </si>
  <si>
    <t>355.57M</t>
  </si>
  <si>
    <t>375.76M</t>
  </si>
  <si>
    <t>324.07M</t>
  </si>
  <si>
    <t>419.89M</t>
  </si>
  <si>
    <t>395.83M</t>
  </si>
  <si>
    <t>427.00M</t>
  </si>
  <si>
    <t>295.76M</t>
  </si>
  <si>
    <t>305.76M</t>
  </si>
  <si>
    <t>378.59M</t>
  </si>
  <si>
    <t>562.24M</t>
  </si>
  <si>
    <t>398.00M</t>
  </si>
  <si>
    <t>360.13M</t>
  </si>
  <si>
    <t>320.51M</t>
  </si>
  <si>
    <t>295.19M</t>
  </si>
  <si>
    <t>363.58M</t>
  </si>
  <si>
    <t>339.10M</t>
  </si>
  <si>
    <t>508.29M</t>
  </si>
  <si>
    <t>503.31M</t>
  </si>
  <si>
    <t>388.19M</t>
  </si>
  <si>
    <t>230.35M</t>
  </si>
  <si>
    <t>241.05M</t>
  </si>
  <si>
    <t>241.51M</t>
  </si>
  <si>
    <t>252.65M</t>
  </si>
  <si>
    <t>243.42M</t>
  </si>
  <si>
    <t>228.05M</t>
  </si>
  <si>
    <t>261.37M</t>
  </si>
  <si>
    <t>242.38M</t>
  </si>
  <si>
    <t>301.89M</t>
  </si>
  <si>
    <t>464.39M</t>
  </si>
  <si>
    <t>283.48M</t>
  </si>
  <si>
    <t>217.41M</t>
  </si>
  <si>
    <t>253.53M</t>
  </si>
  <si>
    <t>265.92M</t>
  </si>
  <si>
    <t>275.36M</t>
  </si>
  <si>
    <t>275.60M</t>
  </si>
  <si>
    <t>350.82M</t>
  </si>
  <si>
    <t>251.80M</t>
  </si>
  <si>
    <t>297.39M</t>
  </si>
  <si>
    <t>254.05M</t>
  </si>
  <si>
    <t>321.87M</t>
  </si>
  <si>
    <t>280.18M</t>
  </si>
  <si>
    <t>240.45M</t>
  </si>
  <si>
    <t>320.09M</t>
  </si>
  <si>
    <t>418.17M</t>
  </si>
  <si>
    <t>427.34M</t>
  </si>
  <si>
    <t>341.29M</t>
  </si>
  <si>
    <t>244.85M</t>
  </si>
  <si>
    <t>400.02M</t>
  </si>
  <si>
    <t>401.58M</t>
  </si>
  <si>
    <t>318.60M</t>
  </si>
  <si>
    <t>311.01M</t>
  </si>
  <si>
    <t>267.08M</t>
  </si>
  <si>
    <t>294.10M</t>
  </si>
  <si>
    <t>265.25M</t>
  </si>
  <si>
    <t>274.28M</t>
  </si>
  <si>
    <t>242.13M</t>
  </si>
  <si>
    <t>276.30M</t>
  </si>
  <si>
    <t>284.85M</t>
  </si>
  <si>
    <t>239.92M</t>
  </si>
  <si>
    <t>246.68M</t>
  </si>
  <si>
    <t>243.25M</t>
  </si>
  <si>
    <t>307.93M</t>
  </si>
  <si>
    <t>329.31M</t>
  </si>
  <si>
    <t>391.41M</t>
  </si>
  <si>
    <t>207.03M</t>
  </si>
  <si>
    <t>254.81M</t>
  </si>
  <si>
    <t>224.92M</t>
  </si>
  <si>
    <t>262.39M</t>
  </si>
  <si>
    <t>360.33M</t>
  </si>
  <si>
    <t>255.10M</t>
  </si>
  <si>
    <t>314.61M</t>
  </si>
  <si>
    <t>316.66M</t>
  </si>
  <si>
    <t>322.24M</t>
  </si>
  <si>
    <t>351.53M</t>
  </si>
  <si>
    <t>640.82M</t>
  </si>
  <si>
    <t>357.65M</t>
  </si>
  <si>
    <t>340.19M</t>
  </si>
  <si>
    <t>323.26M</t>
  </si>
  <si>
    <t>392.86M</t>
  </si>
  <si>
    <t>363.01M</t>
  </si>
  <si>
    <t>298.30M</t>
  </si>
  <si>
    <t>457.86M</t>
  </si>
  <si>
    <t>378.16M</t>
  </si>
  <si>
    <t>393.97M</t>
  </si>
  <si>
    <t>414.16M</t>
  </si>
  <si>
    <t>410.24M</t>
  </si>
  <si>
    <t>428.64M</t>
  </si>
  <si>
    <t>409.56M</t>
  </si>
  <si>
    <t>436.00M</t>
  </si>
  <si>
    <t>455.58M</t>
  </si>
  <si>
    <t>682.37M</t>
  </si>
  <si>
    <t>377.68M</t>
  </si>
  <si>
    <t>417.32M</t>
  </si>
  <si>
    <t>566.72M</t>
  </si>
  <si>
    <t>557.73M</t>
  </si>
  <si>
    <t>467.46M</t>
  </si>
  <si>
    <t>563.29M</t>
  </si>
  <si>
    <t>571.92M</t>
  </si>
  <si>
    <t>534.52M</t>
  </si>
  <si>
    <t>602.74M</t>
  </si>
  <si>
    <t>620.32M</t>
  </si>
  <si>
    <t>616.20M</t>
  </si>
  <si>
    <t>510.60M</t>
  </si>
  <si>
    <t>483.68M</t>
  </si>
  <si>
    <t>445.28M</t>
  </si>
  <si>
    <t>437.26M</t>
  </si>
  <si>
    <t>479.66M</t>
  </si>
  <si>
    <t>443.41M</t>
  </si>
  <si>
    <t>594.74M</t>
  </si>
  <si>
    <t>511.47M</t>
  </si>
  <si>
    <t>453.99M</t>
  </si>
  <si>
    <t>442.21M</t>
  </si>
  <si>
    <t>448.53M</t>
  </si>
  <si>
    <t>476.61M</t>
  </si>
  <si>
    <t>516.99M</t>
  </si>
  <si>
    <t>456.70M</t>
  </si>
  <si>
    <t>503.14M</t>
  </si>
  <si>
    <t>568.57M</t>
  </si>
  <si>
    <t>556.85M</t>
  </si>
  <si>
    <t>588.67M</t>
  </si>
  <si>
    <t>638.48M</t>
  </si>
  <si>
    <t>498.35M</t>
  </si>
  <si>
    <t>503.73M</t>
  </si>
  <si>
    <t>476.38M</t>
  </si>
  <si>
    <t>474.21M</t>
  </si>
  <si>
    <t>500.48M</t>
  </si>
  <si>
    <t>430.03M</t>
  </si>
  <si>
    <t>436.87M</t>
  </si>
  <si>
    <t>594.52M</t>
  </si>
  <si>
    <t>481.00M</t>
  </si>
  <si>
    <t>606.82M</t>
  </si>
  <si>
    <t>456.40M</t>
  </si>
  <si>
    <t>474.15M</t>
  </si>
  <si>
    <t>459.00M</t>
  </si>
  <si>
    <t>919.18M</t>
  </si>
  <si>
    <t>542.22M</t>
  </si>
  <si>
    <t>479.35M</t>
  </si>
  <si>
    <t>437.65M</t>
  </si>
  <si>
    <t>467.47M</t>
  </si>
  <si>
    <t>493.24M</t>
  </si>
  <si>
    <t>404.59M</t>
  </si>
  <si>
    <t>675.27M</t>
  </si>
  <si>
    <t>580.31M</t>
  </si>
  <si>
    <t>640.70M</t>
  </si>
  <si>
    <t>534.85M</t>
  </si>
  <si>
    <t>544.21M</t>
  </si>
  <si>
    <t>621.72M</t>
  </si>
  <si>
    <t>507.30M</t>
  </si>
  <si>
    <t>1.10B</t>
  </si>
  <si>
    <t>803.88M</t>
  </si>
  <si>
    <t>403.75M</t>
  </si>
  <si>
    <t>744.09M</t>
  </si>
  <si>
    <t>609.90M</t>
  </si>
  <si>
    <t>712.21M</t>
  </si>
  <si>
    <t>770.63M</t>
  </si>
  <si>
    <t>504.77M</t>
  </si>
  <si>
    <t>648.55M</t>
  </si>
  <si>
    <t>455.96M</t>
  </si>
  <si>
    <t>571.81M</t>
  </si>
  <si>
    <t>500.12M</t>
  </si>
  <si>
    <t>624.79M</t>
  </si>
  <si>
    <t>713.28M</t>
  </si>
  <si>
    <t>671.24M</t>
  </si>
  <si>
    <t>935.63M</t>
  </si>
  <si>
    <t>884.69M</t>
  </si>
  <si>
    <t>869.48M</t>
  </si>
  <si>
    <t>914.97M</t>
  </si>
  <si>
    <t>870.53M</t>
  </si>
  <si>
    <t>753.21M</t>
  </si>
  <si>
    <t>637.87M</t>
  </si>
  <si>
    <t>660.71M</t>
  </si>
  <si>
    <t>618.63M</t>
  </si>
  <si>
    <t>776.75M</t>
  </si>
  <si>
    <t>704.65M</t>
  </si>
  <si>
    <t>623.07M</t>
  </si>
  <si>
    <t>546.11M</t>
  </si>
  <si>
    <t>762.04M</t>
  </si>
  <si>
    <t>789.56M</t>
  </si>
  <si>
    <t>620.20M</t>
  </si>
  <si>
    <t>873.96M</t>
  </si>
  <si>
    <t>929.57M</t>
  </si>
  <si>
    <t>672.88M</t>
  </si>
  <si>
    <t>613.47M</t>
  </si>
  <si>
    <t>559.17M</t>
  </si>
  <si>
    <t>632.32M</t>
  </si>
  <si>
    <t>492.48M</t>
  </si>
  <si>
    <t>495.00M</t>
  </si>
  <si>
    <t>452.41M</t>
  </si>
  <si>
    <t>380.68M</t>
  </si>
  <si>
    <t>439.59M</t>
  </si>
  <si>
    <t>403.63M</t>
  </si>
  <si>
    <t>471.37M</t>
  </si>
  <si>
    <t>458.65M</t>
  </si>
  <si>
    <t>696.20M</t>
  </si>
  <si>
    <t>687.25M</t>
  </si>
  <si>
    <t>519.39M</t>
  </si>
  <si>
    <t>416.01M</t>
  </si>
  <si>
    <t>462.15M</t>
  </si>
  <si>
    <t>497.60M</t>
  </si>
  <si>
    <t>558.39M</t>
  </si>
  <si>
    <t>787.71M</t>
  </si>
  <si>
    <t>553.40M</t>
  </si>
  <si>
    <t>502.60M</t>
  </si>
  <si>
    <t>543.16M</t>
  </si>
  <si>
    <t>591.72M</t>
  </si>
  <si>
    <t>640.51M</t>
  </si>
  <si>
    <t>713.69M</t>
  </si>
  <si>
    <t>717.71M</t>
  </si>
  <si>
    <t>583.63M</t>
  </si>
  <si>
    <t>1.16B</t>
  </si>
  <si>
    <t>549.80M</t>
  </si>
  <si>
    <t>679.01M</t>
  </si>
  <si>
    <t>571.87M</t>
  </si>
  <si>
    <t>633.12M</t>
  </si>
  <si>
    <t>664.00M</t>
  </si>
  <si>
    <t>768.75M</t>
  </si>
  <si>
    <t>731.32M</t>
  </si>
  <si>
    <t>707.68M</t>
  </si>
  <si>
    <t>107.87M</t>
  </si>
  <si>
    <t>513.95M</t>
  </si>
  <si>
    <t>622.02M</t>
  </si>
  <si>
    <t>880.48M</t>
  </si>
  <si>
    <t>847.45M</t>
  </si>
  <si>
    <t>553.45M</t>
  </si>
  <si>
    <t>576.84M</t>
  </si>
  <si>
    <t>632.45M</t>
  </si>
  <si>
    <t>667.29M</t>
  </si>
  <si>
    <t>674.30M</t>
  </si>
  <si>
    <t>568.43M</t>
  </si>
  <si>
    <t>553.67M</t>
  </si>
  <si>
    <t>554.96M</t>
  </si>
  <si>
    <t>704.02M</t>
  </si>
  <si>
    <t>616.32M</t>
  </si>
  <si>
    <t>519.82M</t>
  </si>
  <si>
    <t>502.34M</t>
  </si>
  <si>
    <t>544.90M</t>
  </si>
  <si>
    <t>623.66M</t>
  </si>
  <si>
    <t>453.56M</t>
  </si>
  <si>
    <t>541.42M</t>
  </si>
  <si>
    <t>555.76M</t>
  </si>
  <si>
    <t>608.87M</t>
  </si>
  <si>
    <t>569.24M</t>
  </si>
  <si>
    <t>458.30M</t>
  </si>
  <si>
    <t>522.63M</t>
  </si>
  <si>
    <t>611.08M</t>
  </si>
  <si>
    <t>608.77M</t>
  </si>
  <si>
    <t>513.37M</t>
  </si>
  <si>
    <t>561.44M</t>
  </si>
  <si>
    <t>530.60M</t>
  </si>
  <si>
    <t>447.74M</t>
  </si>
  <si>
    <t>499.34M</t>
  </si>
  <si>
    <t>498.30M</t>
  </si>
  <si>
    <t>472.78M</t>
  </si>
  <si>
    <t>559.60M</t>
  </si>
  <si>
    <t>706.14M</t>
  </si>
  <si>
    <t>714.93M</t>
  </si>
  <si>
    <t>672.25M</t>
  </si>
  <si>
    <t>602.85M</t>
  </si>
  <si>
    <t>764.15M</t>
  </si>
  <si>
    <t>517.73M</t>
  </si>
  <si>
    <t>527.80M</t>
  </si>
  <si>
    <t>506.67M</t>
  </si>
  <si>
    <t>642.27M</t>
  </si>
  <si>
    <t>554.79M</t>
  </si>
  <si>
    <t>679.42M</t>
  </si>
  <si>
    <t>728.88M</t>
  </si>
  <si>
    <t>572.24M</t>
  </si>
  <si>
    <t>560.32M</t>
  </si>
  <si>
    <t>681.34M</t>
  </si>
  <si>
    <t>607.12M</t>
  </si>
  <si>
    <t>593.49M</t>
  </si>
  <si>
    <t>783.77M</t>
  </si>
  <si>
    <t>1.37B</t>
  </si>
  <si>
    <t>807.00M</t>
  </si>
  <si>
    <t>719.78M</t>
  </si>
  <si>
    <t>743.44M</t>
  </si>
  <si>
    <t>638.15M</t>
  </si>
  <si>
    <t>532.90M</t>
  </si>
  <si>
    <t>668.72M</t>
  </si>
  <si>
    <t>791.59M</t>
  </si>
  <si>
    <t>626.22M</t>
  </si>
  <si>
    <t>579.24M</t>
  </si>
  <si>
    <t>633.96M</t>
  </si>
  <si>
    <t>645.11M</t>
  </si>
  <si>
    <t>562.36M</t>
  </si>
  <si>
    <t>609.86M</t>
  </si>
  <si>
    <t>586.08M</t>
  </si>
  <si>
    <t>452.63M</t>
  </si>
  <si>
    <t>600.37M</t>
  </si>
  <si>
    <t>667.64M</t>
  </si>
  <si>
    <t>625.74M</t>
  </si>
  <si>
    <t>680.93M</t>
  </si>
  <si>
    <t>642.56M</t>
  </si>
  <si>
    <t>677.76M</t>
  </si>
  <si>
    <t>600.73M</t>
  </si>
  <si>
    <t>683.89M</t>
  </si>
  <si>
    <t>588.15M</t>
  </si>
  <si>
    <t>678.93M</t>
  </si>
  <si>
    <t>621.57M</t>
  </si>
  <si>
    <t>765.07M</t>
  </si>
  <si>
    <t>772.00M</t>
  </si>
  <si>
    <t>554.31M</t>
  </si>
  <si>
    <t>676.88M</t>
  </si>
  <si>
    <t>694.40M</t>
  </si>
  <si>
    <t>715.90M</t>
  </si>
  <si>
    <t>532.37M</t>
  </si>
  <si>
    <t>554.05M</t>
  </si>
  <si>
    <t>590.71M</t>
  </si>
  <si>
    <t>618.65M</t>
  </si>
  <si>
    <t>767.94M</t>
  </si>
  <si>
    <t>636.76M</t>
  </si>
  <si>
    <t>571.21M</t>
  </si>
  <si>
    <t>525.19M</t>
  </si>
  <si>
    <t>597.42M</t>
  </si>
  <si>
    <t>573.55M</t>
  </si>
  <si>
    <t>556.24M</t>
  </si>
  <si>
    <t>574.54M</t>
  </si>
  <si>
    <t>671.91M</t>
  </si>
  <si>
    <t>994.19M</t>
  </si>
  <si>
    <t>854.80M</t>
  </si>
  <si>
    <t>669.20M</t>
  </si>
  <si>
    <t>685.39M</t>
  </si>
  <si>
    <t>892.10M</t>
  </si>
  <si>
    <t>622.90M</t>
  </si>
  <si>
    <t>685.42M</t>
  </si>
  <si>
    <t>899.89M</t>
  </si>
  <si>
    <t>716.05M</t>
  </si>
  <si>
    <t>796.31M</t>
  </si>
  <si>
    <t>715.45M</t>
  </si>
  <si>
    <t>632.38M</t>
  </si>
  <si>
    <t>754.22M</t>
  </si>
  <si>
    <t>936.49M</t>
  </si>
  <si>
    <t>987.12M</t>
  </si>
  <si>
    <t>775.11M</t>
  </si>
  <si>
    <t>794.66M</t>
  </si>
  <si>
    <t>770.19M</t>
  </si>
  <si>
    <t>794.18M</t>
  </si>
  <si>
    <t>967.00M</t>
  </si>
  <si>
    <t>837.91M</t>
  </si>
  <si>
    <t>763.49M</t>
  </si>
  <si>
    <t>654.96M</t>
  </si>
  <si>
    <t>675.76M</t>
  </si>
  <si>
    <t>631.54M</t>
  </si>
  <si>
    <t>622.31M</t>
  </si>
  <si>
    <t>762.15M</t>
  </si>
  <si>
    <t>772.98M</t>
  </si>
  <si>
    <t>575.86M</t>
  </si>
  <si>
    <t>602.56M</t>
  </si>
  <si>
    <t>846.40M</t>
  </si>
  <si>
    <t>805.46M</t>
  </si>
  <si>
    <t>609.05M</t>
  </si>
  <si>
    <t>708.74M</t>
  </si>
  <si>
    <t>722.19M</t>
  </si>
  <si>
    <t>725.20M</t>
  </si>
  <si>
    <t>687.49M</t>
  </si>
  <si>
    <t>931.17M</t>
  </si>
  <si>
    <t>653.03M</t>
  </si>
  <si>
    <t>614.55M</t>
  </si>
  <si>
    <t>512.79M</t>
  </si>
  <si>
    <t>659.44M</t>
  </si>
  <si>
    <t>666.65M</t>
  </si>
  <si>
    <t>734.38M</t>
  </si>
  <si>
    <t>655.12M</t>
  </si>
  <si>
    <t>726.36M</t>
  </si>
  <si>
    <t>684.20M</t>
  </si>
  <si>
    <t>719.44M</t>
  </si>
  <si>
    <t>879.15M</t>
  </si>
  <si>
    <t>643.97M</t>
  </si>
  <si>
    <t>742.14M</t>
  </si>
  <si>
    <t>896.52M</t>
  </si>
  <si>
    <t>814.18M</t>
  </si>
  <si>
    <t>697.03M</t>
  </si>
  <si>
    <t>506.34M</t>
  </si>
  <si>
    <t>712.66M</t>
  </si>
  <si>
    <t>593.25M</t>
  </si>
  <si>
    <t>801.45M</t>
  </si>
  <si>
    <t>865.59M</t>
  </si>
  <si>
    <t>736.87M</t>
  </si>
  <si>
    <t>738.43M</t>
  </si>
  <si>
    <t>653.54M</t>
  </si>
  <si>
    <t>1.07B</t>
  </si>
  <si>
    <t>925.72M</t>
  </si>
  <si>
    <t>1.52B</t>
  </si>
  <si>
    <t>935.62M</t>
  </si>
  <si>
    <t>897.73M</t>
  </si>
  <si>
    <t>1.39B</t>
  </si>
  <si>
    <t>1.34B</t>
  </si>
  <si>
    <t>1.22B</t>
  </si>
  <si>
    <t>1.57B</t>
  </si>
  <si>
    <t>1.81B</t>
  </si>
  <si>
    <t>1.35B</t>
  </si>
  <si>
    <t>797.65M</t>
  </si>
  <si>
    <t>696.52M</t>
  </si>
  <si>
    <t>680.80M</t>
  </si>
  <si>
    <t>809.90M</t>
  </si>
  <si>
    <t>608.61M</t>
  </si>
  <si>
    <t>567.63M</t>
  </si>
  <si>
    <t>461.00M</t>
  </si>
  <si>
    <t>490.80M</t>
  </si>
  <si>
    <t>513.57M</t>
  </si>
  <si>
    <t>676.85M</t>
  </si>
  <si>
    <t>455.19M</t>
  </si>
  <si>
    <t>622.78M</t>
  </si>
  <si>
    <t>501.19M</t>
  </si>
  <si>
    <t>411.73M</t>
  </si>
  <si>
    <t>479.98M</t>
  </si>
  <si>
    <t>524.71M</t>
  </si>
  <si>
    <t>473.48M</t>
  </si>
  <si>
    <t>565.12M</t>
  </si>
  <si>
    <t>758.03M</t>
  </si>
  <si>
    <t>560.43M</t>
  </si>
  <si>
    <t>669.82M</t>
  </si>
  <si>
    <t>537.63M</t>
  </si>
  <si>
    <t>771.28M</t>
  </si>
  <si>
    <t>538.14M</t>
  </si>
  <si>
    <t>514.36M</t>
  </si>
  <si>
    <t>478.48M</t>
  </si>
  <si>
    <t>441.16M</t>
  </si>
  <si>
    <t>593.24M</t>
  </si>
  <si>
    <t>867.65M</t>
  </si>
  <si>
    <t>526.30M</t>
  </si>
  <si>
    <t>443.98M</t>
  </si>
  <si>
    <t>491.61M</t>
  </si>
  <si>
    <t>502.06M</t>
  </si>
  <si>
    <t>395.67M</t>
  </si>
  <si>
    <t>684.35M</t>
  </si>
  <si>
    <t>616.26M</t>
  </si>
  <si>
    <t>500.97M</t>
  </si>
  <si>
    <t>660.63M</t>
  </si>
  <si>
    <t>477.47M</t>
  </si>
  <si>
    <t>445.99M</t>
  </si>
  <si>
    <t>447.82M</t>
  </si>
  <si>
    <t>396.50M</t>
  </si>
  <si>
    <t>428.77M</t>
  </si>
  <si>
    <t>407.70M</t>
  </si>
  <si>
    <t>304.08M</t>
  </si>
  <si>
    <t>426.93M</t>
  </si>
  <si>
    <t>411.08M</t>
  </si>
  <si>
    <t>383.79M</t>
  </si>
  <si>
    <t>520.33M</t>
  </si>
  <si>
    <t>470.29M</t>
  </si>
  <si>
    <t>604.78M</t>
  </si>
  <si>
    <t>810.68M</t>
  </si>
  <si>
    <t>623.05M</t>
  </si>
  <si>
    <t>518.86M</t>
  </si>
  <si>
    <t>499.59M</t>
  </si>
  <si>
    <t>437.70M</t>
  </si>
  <si>
    <t>597.71M</t>
  </si>
  <si>
    <t>752.62M</t>
  </si>
  <si>
    <t>997.65M</t>
  </si>
  <si>
    <t>650.22M</t>
  </si>
  <si>
    <t>599.12M</t>
  </si>
  <si>
    <t>609.22M</t>
  </si>
  <si>
    <t>562.23M</t>
  </si>
  <si>
    <t>747.19M</t>
  </si>
  <si>
    <t>605.79M</t>
  </si>
  <si>
    <t>720.95M</t>
  </si>
  <si>
    <t>804.43M</t>
  </si>
  <si>
    <t>620.48M</t>
  </si>
  <si>
    <t>584.23M</t>
  </si>
  <si>
    <t>534.29M</t>
  </si>
  <si>
    <t>486.82M</t>
  </si>
  <si>
    <t>557.69M</t>
  </si>
  <si>
    <t>646.66M</t>
  </si>
  <si>
    <t>613.91M</t>
  </si>
  <si>
    <t>514.35M</t>
  </si>
  <si>
    <t>580.15M</t>
  </si>
  <si>
    <t>559.49M</t>
  </si>
  <si>
    <t>659.04M</t>
  </si>
  <si>
    <t>548.98M</t>
  </si>
  <si>
    <t>789.25M</t>
  </si>
  <si>
    <t>562.96M</t>
  </si>
  <si>
    <t>603.35M</t>
  </si>
  <si>
    <t>631.95M</t>
  </si>
  <si>
    <t>823.05M</t>
  </si>
  <si>
    <t>855.34M</t>
  </si>
  <si>
    <t>1.41B</t>
  </si>
  <si>
    <t>725.22M</t>
  </si>
  <si>
    <t>951.72M</t>
  </si>
  <si>
    <t>161.78M</t>
  </si>
  <si>
    <t>812.03M</t>
  </si>
  <si>
    <t>700.48M</t>
  </si>
  <si>
    <t>664.16M</t>
  </si>
  <si>
    <t>867.60M</t>
  </si>
  <si>
    <t>853.44M</t>
  </si>
  <si>
    <t>797.57M</t>
  </si>
  <si>
    <t>533.47M</t>
  </si>
  <si>
    <t>527.40M</t>
  </si>
  <si>
    <t>587.58M</t>
  </si>
  <si>
    <t>737.80M</t>
  </si>
  <si>
    <t>562.02M</t>
  </si>
  <si>
    <t>741.15M</t>
  </si>
  <si>
    <t>733.20M</t>
  </si>
  <si>
    <t>928.52M</t>
  </si>
  <si>
    <t>1.02B</t>
  </si>
  <si>
    <t>1.31B</t>
  </si>
  <si>
    <t>756.85M</t>
  </si>
  <si>
    <t>650.02M</t>
  </si>
  <si>
    <t>844.47M</t>
  </si>
  <si>
    <t>629.05M</t>
  </si>
  <si>
    <t>651.72M</t>
  </si>
  <si>
    <t>882.83M</t>
  </si>
  <si>
    <t>1.36B</t>
  </si>
  <si>
    <t>642.60M</t>
  </si>
  <si>
    <t>519.16M</t>
  </si>
  <si>
    <t>482.01M</t>
  </si>
  <si>
    <t>434.45M</t>
  </si>
  <si>
    <t>624.31M</t>
  </si>
  <si>
    <t>551.44M</t>
  </si>
  <si>
    <t>687.14M</t>
  </si>
  <si>
    <t>412.47M</t>
  </si>
  <si>
    <t>497.21M</t>
  </si>
  <si>
    <t>595.70M</t>
  </si>
  <si>
    <t>508.78M</t>
  </si>
  <si>
    <t>483.04M</t>
  </si>
  <si>
    <t>628.15M</t>
  </si>
  <si>
    <t>649.88M</t>
  </si>
  <si>
    <t>549.96M</t>
  </si>
  <si>
    <t>685.55M</t>
  </si>
  <si>
    <t>684.14M</t>
  </si>
  <si>
    <t>667.08M</t>
  </si>
  <si>
    <t>668.19M</t>
  </si>
  <si>
    <t>557.87M</t>
  </si>
  <si>
    <t>444.72M</t>
  </si>
  <si>
    <t>369.49M</t>
  </si>
  <si>
    <t>470.91M</t>
  </si>
  <si>
    <t>511.54M</t>
  </si>
  <si>
    <t>624.64M</t>
  </si>
  <si>
    <t>538.06M</t>
  </si>
  <si>
    <t>482.47M</t>
  </si>
  <si>
    <t>548.47M</t>
  </si>
  <si>
    <t>517.89M</t>
  </si>
  <si>
    <t>506.56M</t>
  </si>
  <si>
    <t>547.42M</t>
  </si>
  <si>
    <t>499.92M</t>
  </si>
  <si>
    <t>536.69M</t>
  </si>
  <si>
    <t>479.06M</t>
  </si>
  <si>
    <t>482.86M</t>
  </si>
  <si>
    <t>522.67M</t>
  </si>
  <si>
    <t>553.68M</t>
  </si>
  <si>
    <t>413.20M</t>
  </si>
  <si>
    <t>458.93M</t>
  </si>
  <si>
    <t>516.04M</t>
  </si>
  <si>
    <t>446.05M</t>
  </si>
  <si>
    <t>498.26M</t>
  </si>
  <si>
    <t>464.83M</t>
  </si>
  <si>
    <t>480.16M</t>
  </si>
  <si>
    <t>368.79M</t>
  </si>
  <si>
    <t>359.42M</t>
  </si>
  <si>
    <t>317.26M</t>
  </si>
  <si>
    <t>337.57M</t>
  </si>
  <si>
    <t>442.52M</t>
  </si>
  <si>
    <t>464.03M</t>
  </si>
  <si>
    <t>530.72M</t>
  </si>
  <si>
    <t>333.60M</t>
  </si>
  <si>
    <t>340.53M</t>
  </si>
  <si>
    <t>363.20M</t>
  </si>
  <si>
    <t>278.42M</t>
  </si>
  <si>
    <t>303.89M</t>
  </si>
  <si>
    <t>480.17M</t>
  </si>
  <si>
    <t>327.88M</t>
  </si>
  <si>
    <t>300.48M</t>
  </si>
  <si>
    <t>277.62M</t>
  </si>
  <si>
    <t>468.43M</t>
  </si>
  <si>
    <t>442.02M</t>
  </si>
  <si>
    <t>446.93M</t>
  </si>
  <si>
    <t>365.53M</t>
  </si>
  <si>
    <t>295.53M</t>
  </si>
  <si>
    <t>390.30M</t>
  </si>
  <si>
    <t>447.90M</t>
  </si>
  <si>
    <t>283.72M</t>
  </si>
  <si>
    <t>332.18M</t>
  </si>
  <si>
    <t>303.33M</t>
  </si>
  <si>
    <t>302.46M</t>
  </si>
  <si>
    <t>415.21M</t>
  </si>
  <si>
    <t>289.22M</t>
  </si>
  <si>
    <t>315.30M</t>
  </si>
  <si>
    <t>438.88M</t>
  </si>
  <si>
    <t>421.20M</t>
  </si>
  <si>
    <t>318.07M</t>
  </si>
  <si>
    <t>598.31M</t>
  </si>
  <si>
    <t>348.36M</t>
  </si>
  <si>
    <t>374.64M</t>
  </si>
  <si>
    <t>569.03M</t>
  </si>
  <si>
    <t>355.87M</t>
  </si>
  <si>
    <t>381.04M</t>
  </si>
  <si>
    <t>452.10M</t>
  </si>
  <si>
    <t>412.11M</t>
  </si>
  <si>
    <t>350.74M</t>
  </si>
  <si>
    <t>414.17M</t>
  </si>
  <si>
    <t>398.12M</t>
  </si>
  <si>
    <t>357.59M</t>
  </si>
  <si>
    <t>387.32M</t>
  </si>
  <si>
    <t>373.03M</t>
  </si>
  <si>
    <t>372.83M</t>
  </si>
  <si>
    <t>337.50M</t>
  </si>
  <si>
    <t>299.05M</t>
  </si>
  <si>
    <t>305.52M</t>
  </si>
  <si>
    <t>380.28M</t>
  </si>
  <si>
    <t>532.63M</t>
  </si>
  <si>
    <t>333.48M</t>
  </si>
  <si>
    <t>604.36M</t>
  </si>
  <si>
    <t>335.20M</t>
  </si>
  <si>
    <t>272.54M</t>
  </si>
  <si>
    <t>260.36M</t>
  </si>
  <si>
    <t>339.65M</t>
  </si>
  <si>
    <t>354.32M</t>
  </si>
  <si>
    <t>290.00M</t>
  </si>
  <si>
    <t>246.01M</t>
  </si>
  <si>
    <t>279.78M</t>
  </si>
  <si>
    <t>359.94M</t>
  </si>
  <si>
    <t>300.47M</t>
  </si>
  <si>
    <t>260.93M</t>
  </si>
  <si>
    <t>266.67M</t>
  </si>
  <si>
    <t>349.03M</t>
  </si>
  <si>
    <t>365.76M</t>
  </si>
  <si>
    <t>386.13M</t>
  </si>
  <si>
    <t>379.57M</t>
  </si>
  <si>
    <t>416.28M</t>
  </si>
  <si>
    <t>527.68M</t>
  </si>
  <si>
    <t>350.45M</t>
  </si>
  <si>
    <t>282.58M</t>
  </si>
  <si>
    <t>294.46M</t>
  </si>
  <si>
    <t>386.19M</t>
  </si>
  <si>
    <t>366.30M</t>
  </si>
  <si>
    <t>326.10M</t>
  </si>
  <si>
    <t>320.25M</t>
  </si>
  <si>
    <t>463.70M</t>
  </si>
  <si>
    <t>294.48M</t>
  </si>
  <si>
    <t>383.00M</t>
  </si>
  <si>
    <t>391.31M</t>
  </si>
  <si>
    <t>352.24M</t>
  </si>
  <si>
    <t>326.57M</t>
  </si>
  <si>
    <t>321.21M</t>
  </si>
  <si>
    <t>372.55M</t>
  </si>
  <si>
    <t>373.22M</t>
  </si>
  <si>
    <t>644.16M</t>
  </si>
  <si>
    <t>381.08M</t>
  </si>
  <si>
    <t>414.95M</t>
  </si>
  <si>
    <t>385.90M</t>
  </si>
  <si>
    <t>396.85M</t>
  </si>
  <si>
    <t>279.58M</t>
  </si>
  <si>
    <t>291.51M</t>
  </si>
  <si>
    <t>345.44M</t>
  </si>
  <si>
    <t>521.88M</t>
  </si>
  <si>
    <t>627.04M</t>
  </si>
  <si>
    <t>321.96M</t>
  </si>
  <si>
    <t>292.32M</t>
  </si>
  <si>
    <t>285.98M</t>
  </si>
  <si>
    <t>352.79M</t>
  </si>
  <si>
    <t>263.54M</t>
  </si>
  <si>
    <t>298.51M</t>
  </si>
  <si>
    <t>268.10M</t>
  </si>
  <si>
    <t>318.30M</t>
  </si>
  <si>
    <t>482.27M</t>
  </si>
  <si>
    <t>604.82M</t>
  </si>
  <si>
    <t>410.11M</t>
  </si>
  <si>
    <t>356.91M</t>
  </si>
  <si>
    <t>419.68M</t>
  </si>
  <si>
    <t>463.44M</t>
  </si>
  <si>
    <t>361.08M</t>
  </si>
  <si>
    <t>298.88M</t>
  </si>
  <si>
    <t>300.77M</t>
  </si>
  <si>
    <t>288.83M</t>
  </si>
  <si>
    <t>323.81M</t>
  </si>
  <si>
    <t>271.68M</t>
  </si>
  <si>
    <t>276.54M</t>
  </si>
  <si>
    <t>310.74M</t>
  </si>
  <si>
    <t>298.77M</t>
  </si>
  <si>
    <t>260.79M</t>
  </si>
  <si>
    <t>254.36M</t>
  </si>
  <si>
    <t>333.01M</t>
  </si>
  <si>
    <t>269.37M</t>
  </si>
  <si>
    <t>296.60M</t>
  </si>
  <si>
    <t>286.24M</t>
  </si>
  <si>
    <t>309.67M</t>
  </si>
  <si>
    <t>159.40M</t>
  </si>
  <si>
    <t>186.50M</t>
  </si>
  <si>
    <t>253.09M</t>
  </si>
  <si>
    <t>470.16M</t>
  </si>
  <si>
    <t>271.94M</t>
  </si>
  <si>
    <t>230.29M</t>
  </si>
  <si>
    <t>389.24M</t>
  </si>
  <si>
    <t>328.80M</t>
  </si>
  <si>
    <t>321.80M</t>
  </si>
  <si>
    <t>294.94M</t>
  </si>
  <si>
    <t>306.15M</t>
  </si>
  <si>
    <t>350.58M</t>
  </si>
  <si>
    <t>387.81M</t>
  </si>
  <si>
    <t>371.70M</t>
  </si>
  <si>
    <t>438.70M</t>
  </si>
  <si>
    <t>393.10M</t>
  </si>
  <si>
    <t>335.85M</t>
  </si>
  <si>
    <t>328.28M</t>
  </si>
  <si>
    <t>322.02M</t>
  </si>
  <si>
    <t>332.14M</t>
  </si>
  <si>
    <t>422.36M</t>
  </si>
  <si>
    <t>467.86M</t>
  </si>
  <si>
    <t>712.65M</t>
  </si>
  <si>
    <t>437.63M</t>
  </si>
  <si>
    <t>382.83M</t>
  </si>
  <si>
    <t>332.86M</t>
  </si>
  <si>
    <t>246.93M</t>
  </si>
  <si>
    <t>310.19M</t>
  </si>
  <si>
    <t>304.32M</t>
  </si>
  <si>
    <t>280.52M</t>
  </si>
  <si>
    <t>353.38M</t>
  </si>
  <si>
    <t>306.01M</t>
  </si>
  <si>
    <t>396.37M</t>
  </si>
  <si>
    <t>262.54M</t>
  </si>
  <si>
    <t>305.82M</t>
  </si>
  <si>
    <t>2.83M</t>
  </si>
  <si>
    <t>309.88M</t>
  </si>
  <si>
    <t>311.18M</t>
  </si>
  <si>
    <t>434.18M</t>
  </si>
  <si>
    <t>359.34M</t>
  </si>
  <si>
    <t>386.62M</t>
  </si>
  <si>
    <t>298.75M</t>
  </si>
  <si>
    <t>375.75M</t>
  </si>
  <si>
    <t>375.56M</t>
  </si>
  <si>
    <t>522.42M</t>
  </si>
  <si>
    <t>362.27M</t>
  </si>
  <si>
    <t>312.04M</t>
  </si>
  <si>
    <t>306.47M</t>
  </si>
  <si>
    <t>368.55M</t>
  </si>
  <si>
    <t>293.59M</t>
  </si>
  <si>
    <t>273.44M</t>
  </si>
  <si>
    <t>267.52M</t>
  </si>
  <si>
    <t>354.06M</t>
  </si>
  <si>
    <t>498.51M</t>
  </si>
  <si>
    <t>373.84M</t>
  </si>
  <si>
    <t>443.80M</t>
  </si>
  <si>
    <t>470.28M</t>
  </si>
  <si>
    <t>625.15M</t>
  </si>
  <si>
    <t>438.20M</t>
  </si>
  <si>
    <t>398.76M</t>
  </si>
  <si>
    <t>398.99M</t>
  </si>
  <si>
    <t>492.89M</t>
  </si>
  <si>
    <t>418.21M</t>
  </si>
  <si>
    <t>351.04M</t>
  </si>
  <si>
    <t>417.55M</t>
  </si>
  <si>
    <t>398.82M</t>
  </si>
  <si>
    <t>258.42M</t>
  </si>
  <si>
    <t>248.30M</t>
  </si>
  <si>
    <t>207.62M</t>
  </si>
  <si>
    <t>285.22M</t>
  </si>
  <si>
    <t>276.51M</t>
  </si>
  <si>
    <t>318.09M</t>
  </si>
  <si>
    <t>295.60M</t>
  </si>
  <si>
    <t>305.03M</t>
  </si>
  <si>
    <t>255.56M</t>
  </si>
  <si>
    <t>253.69M</t>
  </si>
  <si>
    <t>262.70M</t>
  </si>
  <si>
    <t>241.73M</t>
  </si>
  <si>
    <t>357.23M</t>
  </si>
  <si>
    <t>323.45M</t>
  </si>
  <si>
    <t>259.35M</t>
  </si>
  <si>
    <t>249.42M</t>
  </si>
  <si>
    <t>205.69M</t>
  </si>
  <si>
    <t>225.60M</t>
  </si>
  <si>
    <t>256.16M</t>
  </si>
  <si>
    <t>231.06M</t>
  </si>
  <si>
    <t>239.84M</t>
  </si>
  <si>
    <t>241.99M</t>
  </si>
  <si>
    <t>299.61M</t>
  </si>
  <si>
    <t>254.47M</t>
  </si>
  <si>
    <t>336.42M</t>
  </si>
  <si>
    <t>311.52M</t>
  </si>
  <si>
    <t>217.05M</t>
  </si>
  <si>
    <t>233.41M</t>
  </si>
  <si>
    <t>210.00M</t>
  </si>
  <si>
    <t>225.15M</t>
  </si>
  <si>
    <t>216.53M</t>
  </si>
  <si>
    <t>278.01M</t>
  </si>
  <si>
    <t>264.43M</t>
  </si>
  <si>
    <t>324.34M</t>
  </si>
  <si>
    <t>376.66M</t>
  </si>
  <si>
    <t>212.33M</t>
  </si>
  <si>
    <t>212.25M</t>
  </si>
  <si>
    <t>236.15M</t>
  </si>
  <si>
    <t>193.14M</t>
  </si>
  <si>
    <t>222.06M</t>
  </si>
  <si>
    <t>232.50M</t>
  </si>
  <si>
    <t>217.11M</t>
  </si>
  <si>
    <t>216.97M</t>
  </si>
  <si>
    <t>241.67M</t>
  </si>
  <si>
    <t>229.21M</t>
  </si>
  <si>
    <t>203.06M</t>
  </si>
  <si>
    <t>189.33M</t>
  </si>
  <si>
    <t>256.55M</t>
  </si>
  <si>
    <t>227.27M</t>
  </si>
  <si>
    <t>179.27M</t>
  </si>
  <si>
    <t>208.37M</t>
  </si>
  <si>
    <t>304.54M</t>
  </si>
  <si>
    <t>250.33M</t>
  </si>
  <si>
    <t>363.16M</t>
  </si>
  <si>
    <t>253.62M</t>
  </si>
  <si>
    <t>226.85M</t>
  </si>
  <si>
    <t>236.69M</t>
  </si>
  <si>
    <t>236.90M</t>
  </si>
  <si>
    <t>230.51M</t>
  </si>
  <si>
    <t>199.47M</t>
  </si>
  <si>
    <t>231.38M</t>
  </si>
  <si>
    <t>202.73M</t>
  </si>
  <si>
    <t>190.03M</t>
  </si>
  <si>
    <t>220.00M</t>
  </si>
  <si>
    <t>204.42M</t>
  </si>
  <si>
    <t>217.85M</t>
  </si>
  <si>
    <t>215.94M</t>
  </si>
  <si>
    <t>227.66M</t>
  </si>
  <si>
    <t>195.76M</t>
  </si>
  <si>
    <t>172.90M</t>
  </si>
  <si>
    <t>210.15M</t>
  </si>
  <si>
    <t>227.36M</t>
  </si>
  <si>
    <t>629.20M</t>
  </si>
  <si>
    <t>246.12M</t>
  </si>
  <si>
    <t>232.76M</t>
  </si>
  <si>
    <t>239.79M</t>
  </si>
  <si>
    <t>268.92M</t>
  </si>
  <si>
    <t>306.79M</t>
  </si>
  <si>
    <t>299.92M</t>
  </si>
  <si>
    <t>249.24M</t>
  </si>
  <si>
    <t>197.29M</t>
  </si>
  <si>
    <t>229.91M</t>
  </si>
  <si>
    <t>220.74M</t>
  </si>
  <si>
    <t>262.20M</t>
  </si>
  <si>
    <t>176.70M</t>
  </si>
  <si>
    <t>209.39M</t>
  </si>
  <si>
    <t>197.99M</t>
  </si>
  <si>
    <t>222.12M</t>
  </si>
  <si>
    <t>278.12M</t>
  </si>
  <si>
    <t>173.62M</t>
  </si>
  <si>
    <t>192.30M</t>
  </si>
  <si>
    <t>190.87M</t>
  </si>
  <si>
    <t>236.76M</t>
  </si>
  <si>
    <t>179.16M</t>
  </si>
  <si>
    <t>306.67M</t>
  </si>
  <si>
    <t>195.13M</t>
  </si>
  <si>
    <t>225.97M</t>
  </si>
  <si>
    <t>200.20M</t>
  </si>
  <si>
    <t>252.23M</t>
  </si>
  <si>
    <t>270.74M</t>
  </si>
  <si>
    <t>211.82M</t>
  </si>
  <si>
    <t>200.95M</t>
  </si>
  <si>
    <t>219.72M</t>
  </si>
  <si>
    <t>246.03M</t>
  </si>
  <si>
    <t>258.08M</t>
  </si>
  <si>
    <t>259.52M</t>
  </si>
  <si>
    <t>228.51M</t>
  </si>
  <si>
    <t>206.36M</t>
  </si>
  <si>
    <t>244.12M</t>
  </si>
  <si>
    <t>238.18M</t>
  </si>
  <si>
    <t>232.43M</t>
  </si>
  <si>
    <t>354.98M</t>
  </si>
  <si>
    <t>232.71M</t>
  </si>
  <si>
    <t>270.66M</t>
  </si>
  <si>
    <t>294.52M</t>
  </si>
  <si>
    <t>237.63M</t>
  </si>
  <si>
    <t>211.06M</t>
  </si>
  <si>
    <t>209.33M</t>
  </si>
  <si>
    <t>216.67M</t>
  </si>
  <si>
    <t>338.70M</t>
  </si>
  <si>
    <t>179.31M</t>
  </si>
  <si>
    <t>186.99M</t>
  </si>
  <si>
    <t>274.85M</t>
  </si>
  <si>
    <t>223.14M</t>
  </si>
  <si>
    <t>192.33M</t>
  </si>
  <si>
    <t>233.38M</t>
  </si>
  <si>
    <t>257.20M</t>
  </si>
  <si>
    <t>229.78M</t>
  </si>
  <si>
    <t>199.98M</t>
  </si>
  <si>
    <t>181.38M</t>
  </si>
  <si>
    <t>294.79M</t>
  </si>
  <si>
    <t>193.25M</t>
  </si>
  <si>
    <t>177.24M</t>
  </si>
  <si>
    <t>217.13M</t>
  </si>
  <si>
    <t>241.33M</t>
  </si>
  <si>
    <t>193.46M</t>
  </si>
  <si>
    <t>193.09M</t>
  </si>
  <si>
    <t>190.04M</t>
  </si>
  <si>
    <t>217.09M</t>
  </si>
  <si>
    <t>236.33M</t>
  </si>
  <si>
    <t>224.12M</t>
  </si>
  <si>
    <t>197.50M</t>
  </si>
  <si>
    <t>239.41M</t>
  </si>
  <si>
    <t>258.10M</t>
  </si>
  <si>
    <t>274.66M</t>
  </si>
  <si>
    <t>247.48M</t>
  </si>
  <si>
    <t>291.43M</t>
  </si>
  <si>
    <t>315.74M</t>
  </si>
  <si>
    <t>253.46M</t>
  </si>
  <si>
    <t>234.97M</t>
  </si>
  <si>
    <t>249.22M</t>
  </si>
  <si>
    <t>340.47M</t>
  </si>
  <si>
    <t>292.20M</t>
  </si>
  <si>
    <t>293.45M</t>
  </si>
  <si>
    <t>238.82M</t>
  </si>
  <si>
    <t>214.01M</t>
  </si>
  <si>
    <t>321.61M</t>
  </si>
  <si>
    <t>260.49M</t>
  </si>
  <si>
    <t>217.47M</t>
  </si>
  <si>
    <t>181.26M</t>
  </si>
  <si>
    <t>180.59M</t>
  </si>
  <si>
    <t>158.63M</t>
  </si>
  <si>
    <t>181.90M</t>
  </si>
  <si>
    <t>211.29M</t>
  </si>
  <si>
    <t>174.18M</t>
  </si>
  <si>
    <t>186.47M</t>
  </si>
  <si>
    <t>180.26M</t>
  </si>
  <si>
    <t>172.52M</t>
  </si>
  <si>
    <t>158.09M</t>
  </si>
  <si>
    <t>134.53M</t>
  </si>
  <si>
    <t>156.74M</t>
  </si>
  <si>
    <t>281.31M</t>
  </si>
  <si>
    <t>170.31M</t>
  </si>
  <si>
    <t>160.42M</t>
  </si>
  <si>
    <t>143.12M</t>
  </si>
  <si>
    <t>156.65M</t>
  </si>
  <si>
    <t>180.60M</t>
  </si>
  <si>
    <t>174.34M</t>
  </si>
  <si>
    <t>237.51M</t>
  </si>
  <si>
    <t>262.98M</t>
  </si>
  <si>
    <t>159.10M</t>
  </si>
  <si>
    <t>187.19M</t>
  </si>
  <si>
    <t>180.55M</t>
  </si>
  <si>
    <t>152.04M</t>
  </si>
  <si>
    <t>206.23M</t>
  </si>
  <si>
    <t>171.34M</t>
  </si>
  <si>
    <t>171.21M</t>
  </si>
  <si>
    <t>160.25M</t>
  </si>
  <si>
    <t>153.24M</t>
  </si>
  <si>
    <t>147.77M</t>
  </si>
  <si>
    <t>157.19M</t>
  </si>
  <si>
    <t>202.05M</t>
  </si>
  <si>
    <t>146.28M</t>
  </si>
  <si>
    <t>133.18M</t>
  </si>
  <si>
    <t>157.65M</t>
  </si>
  <si>
    <t>162.50M</t>
  </si>
  <si>
    <t>191.86M</t>
  </si>
  <si>
    <t>151.75M</t>
  </si>
  <si>
    <t>209.59M</t>
  </si>
  <si>
    <t>188.18M</t>
  </si>
  <si>
    <t>213.84M</t>
  </si>
  <si>
    <t>314.41M</t>
  </si>
  <si>
    <t>216.80M</t>
  </si>
  <si>
    <t>287.96M</t>
  </si>
  <si>
    <t>247.61M</t>
  </si>
  <si>
    <t>282.95M</t>
  </si>
  <si>
    <t>295.83M</t>
  </si>
  <si>
    <t>199.56M</t>
  </si>
  <si>
    <t>207.74M</t>
  </si>
  <si>
    <t>268.27M</t>
  </si>
  <si>
    <t>239.81M</t>
  </si>
  <si>
    <t>244.19M</t>
  </si>
  <si>
    <t>322.41M</t>
  </si>
  <si>
    <t>443.04M</t>
  </si>
  <si>
    <t>612.62M</t>
  </si>
  <si>
    <t>223.91M</t>
  </si>
  <si>
    <t>224.80M</t>
  </si>
  <si>
    <t>31.09M</t>
  </si>
  <si>
    <t>262.11M</t>
  </si>
  <si>
    <t>201.78M</t>
  </si>
  <si>
    <t>207.11M</t>
  </si>
  <si>
    <t>195.59M</t>
  </si>
  <si>
    <t>153.25M</t>
  </si>
  <si>
    <t>148.40M</t>
  </si>
  <si>
    <t>201.86M</t>
  </si>
  <si>
    <t>152.36M</t>
  </si>
  <si>
    <t>160.99M</t>
  </si>
  <si>
    <t>167.83M</t>
  </si>
  <si>
    <t>202.35M</t>
  </si>
  <si>
    <t>396.88M</t>
  </si>
  <si>
    <t>206.31M</t>
  </si>
  <si>
    <t>196.79M</t>
  </si>
  <si>
    <t>228.21M</t>
  </si>
  <si>
    <t>233.62M</t>
  </si>
  <si>
    <t>197.71M</t>
  </si>
  <si>
    <t>205.60M</t>
  </si>
  <si>
    <t>193.35M</t>
  </si>
  <si>
    <t>160.85M</t>
  </si>
  <si>
    <t>274.80M</t>
  </si>
  <si>
    <t>232.64M</t>
  </si>
  <si>
    <t>221.61M</t>
  </si>
  <si>
    <t>188.25M</t>
  </si>
  <si>
    <t>178.41M</t>
  </si>
  <si>
    <t>168.70M</t>
  </si>
  <si>
    <t>194.63M</t>
  </si>
  <si>
    <t>153.77M</t>
  </si>
  <si>
    <t>143.52M</t>
  </si>
  <si>
    <t>153.37M</t>
  </si>
  <si>
    <t>162.73M</t>
  </si>
  <si>
    <t>337.78M</t>
  </si>
  <si>
    <t>162.70M</t>
  </si>
  <si>
    <t>178.67M</t>
  </si>
  <si>
    <t>164.49M</t>
  </si>
  <si>
    <t>190.40M</t>
  </si>
  <si>
    <t>173.82M</t>
  </si>
  <si>
    <t>189.27M</t>
  </si>
  <si>
    <t>211.63M</t>
  </si>
  <si>
    <t>253.93M</t>
  </si>
  <si>
    <t>203.65M</t>
  </si>
  <si>
    <t>226.27M</t>
  </si>
  <si>
    <t>201.61M</t>
  </si>
  <si>
    <t>294.73M</t>
  </si>
  <si>
    <t>242.82M</t>
  </si>
  <si>
    <t>174.40M</t>
  </si>
  <si>
    <t>209.64M</t>
  </si>
  <si>
    <t>141.57M</t>
  </si>
  <si>
    <t>184.08M</t>
  </si>
  <si>
    <t>166.46M</t>
  </si>
  <si>
    <t>190.00M</t>
  </si>
  <si>
    <t>245.10M</t>
  </si>
  <si>
    <t>197.49M</t>
  </si>
  <si>
    <t>296.78M</t>
  </si>
  <si>
    <t>203.70M</t>
  </si>
  <si>
    <t>191.21M</t>
  </si>
  <si>
    <t>179.91M</t>
  </si>
  <si>
    <t>193.29M</t>
  </si>
  <si>
    <t>166.08M</t>
  </si>
  <si>
    <t>206.38M</t>
  </si>
  <si>
    <t>303.01M</t>
  </si>
  <si>
    <t>168.60M</t>
  </si>
  <si>
    <t>164.46M</t>
  </si>
  <si>
    <t>186.87M</t>
  </si>
  <si>
    <t>150.05M</t>
  </si>
  <si>
    <t>185.32M</t>
  </si>
  <si>
    <t>38.75M</t>
  </si>
  <si>
    <t>146.23M</t>
  </si>
  <si>
    <t>152.00M</t>
  </si>
  <si>
    <t>134.85M</t>
  </si>
  <si>
    <t>149.31M</t>
  </si>
  <si>
    <t>188.69M</t>
  </si>
  <si>
    <t>185.20M</t>
  </si>
  <si>
    <t>267.28M</t>
  </si>
  <si>
    <t>177.65M</t>
  </si>
  <si>
    <t>180.58M</t>
  </si>
  <si>
    <t>204.89M</t>
  </si>
  <si>
    <t>148.49M</t>
  </si>
  <si>
    <t>164.44M</t>
  </si>
  <si>
    <t>146.15M</t>
  </si>
  <si>
    <t>219.81M</t>
  </si>
  <si>
    <t>176.42M</t>
  </si>
  <si>
    <t>187.38M</t>
  </si>
  <si>
    <t>133.73M</t>
  </si>
  <si>
    <t>145.79M</t>
  </si>
  <si>
    <t>163.90M</t>
  </si>
  <si>
    <t>160.16M</t>
  </si>
  <si>
    <t>165.67M</t>
  </si>
  <si>
    <t>150.38M</t>
  </si>
  <si>
    <t>131.69M</t>
  </si>
  <si>
    <t>167.20M</t>
  </si>
  <si>
    <t>181.53M</t>
  </si>
  <si>
    <t>427.05M</t>
  </si>
  <si>
    <t>199.89M</t>
  </si>
  <si>
    <t>242.27M</t>
  </si>
  <si>
    <t>225.65M</t>
  </si>
  <si>
    <t>298.15M</t>
  </si>
  <si>
    <t>218.26M</t>
  </si>
  <si>
    <t>231.35M</t>
  </si>
  <si>
    <t>202.88M</t>
  </si>
  <si>
    <t>259.86M</t>
  </si>
  <si>
    <t>199.34M</t>
  </si>
  <si>
    <t>211.86M</t>
  </si>
  <si>
    <t>171.71M</t>
  </si>
  <si>
    <t>145.16M</t>
  </si>
  <si>
    <t>159.08M</t>
  </si>
  <si>
    <t>176.44M</t>
  </si>
  <si>
    <t>157.36M</t>
  </si>
  <si>
    <t>136.42M</t>
  </si>
  <si>
    <t>179.71M</t>
  </si>
  <si>
    <t>239.13M</t>
  </si>
  <si>
    <t>156.34M</t>
  </si>
  <si>
    <t>166.56M</t>
  </si>
  <si>
    <t>167.23M</t>
  </si>
  <si>
    <t>215.88M</t>
  </si>
  <si>
    <t>191.40M</t>
  </si>
  <si>
    <t>173.90M</t>
  </si>
  <si>
    <t>172.91M</t>
  </si>
  <si>
    <t>159.98M</t>
  </si>
  <si>
    <t>175.63M</t>
  </si>
  <si>
    <t>179.12M</t>
  </si>
  <si>
    <t>179.57M</t>
  </si>
  <si>
    <t>132.24M</t>
  </si>
  <si>
    <t>171.70M</t>
  </si>
  <si>
    <t>166.76M</t>
  </si>
  <si>
    <t>206.26M</t>
  </si>
  <si>
    <t>139.97M</t>
  </si>
  <si>
    <t>195.92M</t>
  </si>
  <si>
    <t>191.94M</t>
  </si>
  <si>
    <t>190.53M</t>
  </si>
  <si>
    <t>143.44M</t>
  </si>
  <si>
    <t>196.77M</t>
  </si>
  <si>
    <t>333.41M</t>
  </si>
  <si>
    <t>250.90M</t>
  </si>
  <si>
    <t>188.99M</t>
  </si>
  <si>
    <t>209.04M</t>
  </si>
  <si>
    <t>210.02M</t>
  </si>
  <si>
    <t>197.70M</t>
  </si>
  <si>
    <t>239.46M</t>
  </si>
  <si>
    <t>255.40M</t>
  </si>
  <si>
    <t>342.40M</t>
  </si>
  <si>
    <t>295.55M</t>
  </si>
  <si>
    <t>248.03M</t>
  </si>
  <si>
    <t>278.73M</t>
  </si>
  <si>
    <t>157.42M</t>
  </si>
  <si>
    <t>176.81M</t>
  </si>
  <si>
    <t>183.33M</t>
  </si>
  <si>
    <t>178.83M</t>
  </si>
  <si>
    <t>180.20M</t>
  </si>
  <si>
    <t>208.92M</t>
  </si>
  <si>
    <t>225.61M</t>
  </si>
  <si>
    <t>302.72M</t>
  </si>
  <si>
    <t>195.85M</t>
  </si>
  <si>
    <t>388.87M</t>
  </si>
  <si>
    <t>254.68M</t>
  </si>
  <si>
    <t>181.09M</t>
  </si>
  <si>
    <t>173.02M</t>
  </si>
  <si>
    <t>307.53M</t>
  </si>
  <si>
    <t>190.28M</t>
  </si>
  <si>
    <t>222.83M</t>
  </si>
  <si>
    <t>194.13M</t>
  </si>
  <si>
    <t>211.18M</t>
  </si>
  <si>
    <t>232.95M</t>
  </si>
  <si>
    <t>193.28M</t>
  </si>
  <si>
    <t>225.49M</t>
  </si>
  <si>
    <t>233.30M</t>
  </si>
  <si>
    <t>200.40M</t>
  </si>
  <si>
    <t>196.94M</t>
  </si>
  <si>
    <t>292.33M</t>
  </si>
  <si>
    <t>337.80M</t>
  </si>
  <si>
    <t>537.11M</t>
  </si>
  <si>
    <t>314.11M</t>
  </si>
  <si>
    <t>283.91M</t>
  </si>
  <si>
    <t>301.49M</t>
  </si>
  <si>
    <t>184.75M</t>
  </si>
  <si>
    <t>200.99M</t>
  </si>
  <si>
    <t>208.90M</t>
  </si>
  <si>
    <t>170.96M</t>
  </si>
  <si>
    <t>168.87M</t>
  </si>
  <si>
    <t>125.78M</t>
  </si>
  <si>
    <t>127.94M</t>
  </si>
  <si>
    <t>190.95M</t>
  </si>
  <si>
    <t>177.95M</t>
  </si>
  <si>
    <t>192.28M</t>
  </si>
  <si>
    <t>147.31M</t>
  </si>
  <si>
    <t>102.21M</t>
  </si>
  <si>
    <t>143.69M</t>
  </si>
  <si>
    <t>163.96M</t>
  </si>
  <si>
    <t>136.48M</t>
  </si>
  <si>
    <t>131.19M</t>
  </si>
  <si>
    <t>122.02M</t>
  </si>
  <si>
    <t>131.46M</t>
  </si>
  <si>
    <t>183.98M</t>
  </si>
  <si>
    <t>130.58M</t>
  </si>
  <si>
    <t>122.46M</t>
  </si>
  <si>
    <t>110.17M</t>
  </si>
  <si>
    <t>127.92M</t>
  </si>
  <si>
    <t>126.41M</t>
  </si>
  <si>
    <t>127.54M</t>
  </si>
  <si>
    <t>132.03M</t>
  </si>
  <si>
    <t>110.67M</t>
  </si>
  <si>
    <t>209.27M</t>
  </si>
  <si>
    <t>187.43M</t>
  </si>
  <si>
    <t>149.13M</t>
  </si>
  <si>
    <t>189.74M</t>
  </si>
  <si>
    <t>111.43M</t>
  </si>
  <si>
    <t>154.34M</t>
  </si>
  <si>
    <t>146.86M</t>
  </si>
  <si>
    <t>175.02M</t>
  </si>
  <si>
    <t>118.85M</t>
  </si>
  <si>
    <t>130.44M</t>
  </si>
  <si>
    <t>176.77M</t>
  </si>
  <si>
    <t>162.60M</t>
  </si>
  <si>
    <t>255.72M</t>
  </si>
  <si>
    <t>195.62M</t>
  </si>
  <si>
    <t>195.60M</t>
  </si>
  <si>
    <t>183.36M</t>
  </si>
  <si>
    <t>268.62M</t>
  </si>
  <si>
    <t>186.60M</t>
  </si>
  <si>
    <t>216.68M</t>
  </si>
  <si>
    <t>166.20M</t>
  </si>
  <si>
    <t>197.18M</t>
  </si>
  <si>
    <t>277.80M</t>
  </si>
  <si>
    <t>370.30M</t>
  </si>
  <si>
    <t>275.22M</t>
  </si>
  <si>
    <t>271.20M</t>
  </si>
  <si>
    <t>323.97M</t>
  </si>
  <si>
    <t>201.76M</t>
  </si>
  <si>
    <t>178.07M</t>
  </si>
  <si>
    <t>231.78M</t>
  </si>
  <si>
    <t>175.77M</t>
  </si>
  <si>
    <t>160.13M</t>
  </si>
  <si>
    <t>170.07M</t>
  </si>
  <si>
    <t>166.11M</t>
  </si>
  <si>
    <t>180.91M</t>
  </si>
  <si>
    <t>250.34M</t>
  </si>
  <si>
    <t>226.13M</t>
  </si>
  <si>
    <t>161.97M</t>
  </si>
  <si>
    <t>162.16M</t>
  </si>
  <si>
    <t>165.95M</t>
  </si>
  <si>
    <t>177.40M</t>
  </si>
  <si>
    <t>216.63M</t>
  </si>
  <si>
    <t>203.52M</t>
  </si>
  <si>
    <t>167.85M</t>
  </si>
  <si>
    <t>218.86M</t>
  </si>
  <si>
    <t>111.79M</t>
  </si>
  <si>
    <t>155.05M</t>
  </si>
  <si>
    <t>168.71M</t>
  </si>
  <si>
    <t>162.10M</t>
  </si>
  <si>
    <t>189.99M</t>
  </si>
  <si>
    <t>141.47M</t>
  </si>
  <si>
    <t>187.33M</t>
  </si>
  <si>
    <t>384.40M</t>
  </si>
  <si>
    <t>170.64M</t>
  </si>
  <si>
    <t>156.10M</t>
  </si>
  <si>
    <t>169.05M</t>
  </si>
  <si>
    <t>191.62M</t>
  </si>
  <si>
    <t>178.14M</t>
  </si>
  <si>
    <t>153.44M</t>
  </si>
  <si>
    <t>140.72M</t>
  </si>
  <si>
    <t>135.81M</t>
  </si>
  <si>
    <t>274.04M</t>
  </si>
  <si>
    <t>149.89M</t>
  </si>
  <si>
    <t>189.98M</t>
  </si>
  <si>
    <t>190.20M</t>
  </si>
  <si>
    <t>181.34M</t>
  </si>
  <si>
    <t>223.94M</t>
  </si>
  <si>
    <t>299.15M</t>
  </si>
  <si>
    <t>201.62M</t>
  </si>
  <si>
    <t>197.38M</t>
  </si>
  <si>
    <t>246.34M</t>
  </si>
  <si>
    <t>373.42M</t>
  </si>
  <si>
    <t>154.83M</t>
  </si>
  <si>
    <t>133.72M</t>
  </si>
  <si>
    <t>152.15M</t>
  </si>
  <si>
    <t>219.74M</t>
  </si>
  <si>
    <t>154.17M</t>
  </si>
  <si>
    <t>193.30M</t>
  </si>
  <si>
    <t>156.98M</t>
  </si>
  <si>
    <t>197.77M</t>
  </si>
  <si>
    <t>169.43M</t>
  </si>
  <si>
    <t>179.54M</t>
  </si>
  <si>
    <t>231.77M</t>
  </si>
  <si>
    <t>272.01M</t>
  </si>
  <si>
    <t>195.12M</t>
  </si>
  <si>
    <t>178.96M</t>
  </si>
  <si>
    <t>177.88M</t>
  </si>
  <si>
    <t>162.78M</t>
  </si>
  <si>
    <t>169.78M</t>
  </si>
  <si>
    <t>168.03M</t>
  </si>
  <si>
    <t>194.19M</t>
  </si>
  <si>
    <t>161.94M</t>
  </si>
  <si>
    <t>240.72M</t>
  </si>
  <si>
    <t>189.80M</t>
  </si>
  <si>
    <t>159.56M</t>
  </si>
  <si>
    <t>154.63M</t>
  </si>
  <si>
    <t>147.62M</t>
  </si>
  <si>
    <t>154.58M</t>
  </si>
  <si>
    <t>165.35M</t>
  </si>
  <si>
    <t>173.05M</t>
  </si>
  <si>
    <t>169.40M</t>
  </si>
  <si>
    <t>158.74M</t>
  </si>
  <si>
    <t>201.49M</t>
  </si>
  <si>
    <t>189.34M</t>
  </si>
  <si>
    <t>154.40M</t>
  </si>
  <si>
    <t>142.16M</t>
  </si>
  <si>
    <t>160.33M</t>
  </si>
  <si>
    <t>143.25M</t>
  </si>
  <si>
    <t>158.96M</t>
  </si>
  <si>
    <t>170.58M</t>
  </si>
  <si>
    <t>288.03M</t>
  </si>
  <si>
    <t>151.50M</t>
  </si>
  <si>
    <t>175.72M</t>
  </si>
  <si>
    <t>167.46M</t>
  </si>
  <si>
    <t>306.80M</t>
  </si>
  <si>
    <t>158.85M</t>
  </si>
  <si>
    <t>140.27M</t>
  </si>
  <si>
    <t>141.16M</t>
  </si>
  <si>
    <t>173.75M</t>
  </si>
  <si>
    <t>171.84M</t>
  </si>
  <si>
    <t>195.03M</t>
  </si>
  <si>
    <t>174.95M</t>
  </si>
  <si>
    <t>150.04M</t>
  </si>
  <si>
    <t>174.92M</t>
  </si>
  <si>
    <t>187.76M</t>
  </si>
  <si>
    <t>180.29M</t>
  </si>
  <si>
    <t>249.37M</t>
  </si>
  <si>
    <t>176.88M</t>
  </si>
  <si>
    <t>390.65M</t>
  </si>
  <si>
    <t>187.32M</t>
  </si>
  <si>
    <t>200.37M</t>
  </si>
  <si>
    <t>485.65M</t>
  </si>
  <si>
    <t>255.09M</t>
  </si>
  <si>
    <t>268.96M</t>
  </si>
  <si>
    <t>272.46M</t>
  </si>
  <si>
    <t>181.64M</t>
  </si>
  <si>
    <t>151.54M</t>
  </si>
  <si>
    <t>177.35M</t>
  </si>
  <si>
    <t>161.89M</t>
  </si>
  <si>
    <t>175.71M</t>
  </si>
  <si>
    <t>161.17M</t>
  </si>
  <si>
    <t>189.14M</t>
  </si>
  <si>
    <t>211.55M</t>
  </si>
  <si>
    <t>185.06M</t>
  </si>
  <si>
    <t>157.44M</t>
  </si>
  <si>
    <t>220.71M</t>
  </si>
  <si>
    <t>166.96M</t>
  </si>
  <si>
    <t>165.62M</t>
  </si>
  <si>
    <t>168.66M</t>
  </si>
  <si>
    <t>190.79M</t>
  </si>
  <si>
    <t>205.94M</t>
  </si>
  <si>
    <t>192.27M</t>
  </si>
  <si>
    <t>150.82M</t>
  </si>
  <si>
    <t>251.23M</t>
  </si>
  <si>
    <t>301.48M</t>
  </si>
  <si>
    <t>213.17M</t>
  </si>
  <si>
    <t>208.66M</t>
  </si>
  <si>
    <t>150.78M</t>
  </si>
  <si>
    <t>230.58M</t>
  </si>
  <si>
    <t>190.26M</t>
  </si>
  <si>
    <t>227.22M</t>
  </si>
  <si>
    <t>168.51M</t>
  </si>
  <si>
    <t>185.35M</t>
  </si>
  <si>
    <t>147.82M</t>
  </si>
  <si>
    <t>241.68M</t>
  </si>
  <si>
    <t>170.65M</t>
  </si>
  <si>
    <t>210.13M</t>
  </si>
  <si>
    <t>160.28M</t>
  </si>
  <si>
    <t>189.57M</t>
  </si>
  <si>
    <t>391.91M</t>
  </si>
  <si>
    <t>223.49M</t>
  </si>
  <si>
    <t>249.90M</t>
  </si>
  <si>
    <t>205.80M</t>
  </si>
  <si>
    <t>215.36M</t>
  </si>
  <si>
    <t>202.85M</t>
  </si>
  <si>
    <t>244.73M</t>
  </si>
  <si>
    <t>247.04M</t>
  </si>
  <si>
    <t>201.43M</t>
  </si>
  <si>
    <t>199.65M</t>
  </si>
  <si>
    <t>172.07M</t>
  </si>
  <si>
    <t>204.81M</t>
  </si>
  <si>
    <t>231.58M</t>
  </si>
  <si>
    <t>252.71M</t>
  </si>
  <si>
    <t>264.94M</t>
  </si>
  <si>
    <t>287.25M</t>
  </si>
  <si>
    <t>348.97M</t>
  </si>
  <si>
    <t>283.56M</t>
  </si>
  <si>
    <t>487.97M</t>
  </si>
  <si>
    <t>213.14M</t>
  </si>
  <si>
    <t>291.93M</t>
  </si>
  <si>
    <t>205.90M</t>
  </si>
  <si>
    <t>159.16M</t>
  </si>
  <si>
    <t>198.21M</t>
  </si>
  <si>
    <t>254.33M</t>
  </si>
  <si>
    <t>268.02M</t>
  </si>
  <si>
    <t>261.61M</t>
  </si>
  <si>
    <t>365.22M</t>
  </si>
  <si>
    <t>344.21M</t>
  </si>
  <si>
    <t>301.30M</t>
  </si>
  <si>
    <t>218.73M</t>
  </si>
  <si>
    <t>176.76M</t>
  </si>
  <si>
    <t>257.52M</t>
  </si>
  <si>
    <t>229.56M</t>
  </si>
  <si>
    <t>197.86M</t>
  </si>
  <si>
    <t>237.34M</t>
  </si>
  <si>
    <t>206.64M</t>
  </si>
  <si>
    <t>283.04M</t>
  </si>
  <si>
    <t>193.39M</t>
  </si>
  <si>
    <t>168.20M</t>
  </si>
  <si>
    <t>236.28M</t>
  </si>
  <si>
    <t>248.11M</t>
  </si>
  <si>
    <t>232.61M</t>
  </si>
  <si>
    <t>194.07M</t>
  </si>
  <si>
    <t>240.80M</t>
  </si>
  <si>
    <t>203.64M</t>
  </si>
  <si>
    <t>206.99M</t>
  </si>
  <si>
    <t>221.91M</t>
  </si>
  <si>
    <t>168.98M</t>
  </si>
  <si>
    <t>194.84M</t>
  </si>
  <si>
    <t>162.35M</t>
  </si>
  <si>
    <t>194.73M</t>
  </si>
  <si>
    <t>151.72M</t>
  </si>
  <si>
    <t>149.67M</t>
  </si>
  <si>
    <t>138.86M</t>
  </si>
  <si>
    <t>64.84M</t>
  </si>
  <si>
    <t>6.15B</t>
  </si>
  <si>
    <t>6.27B</t>
  </si>
  <si>
    <t>8.19B</t>
  </si>
  <si>
    <t>8.38B</t>
  </si>
  <si>
    <t>8.41B</t>
  </si>
  <si>
    <t>9.67B</t>
  </si>
  <si>
    <t>9.96B</t>
  </si>
  <si>
    <t>8.18B</t>
  </si>
  <si>
    <t>5.37B</t>
  </si>
  <si>
    <t>5.50B</t>
  </si>
  <si>
    <t>6.24B</t>
  </si>
  <si>
    <t>5.98B</t>
  </si>
  <si>
    <t>5.87B</t>
  </si>
  <si>
    <t>6.28B</t>
  </si>
  <si>
    <t>7.06B</t>
  </si>
  <si>
    <t>8.55B</t>
  </si>
  <si>
    <t>7.66B</t>
  </si>
  <si>
    <t>5.65B</t>
  </si>
  <si>
    <t>6.46B</t>
  </si>
  <si>
    <t>5.45B</t>
  </si>
  <si>
    <t>5.89B</t>
  </si>
  <si>
    <t>6.33B</t>
  </si>
  <si>
    <t>6.16B</t>
  </si>
  <si>
    <t>7.09B</t>
  </si>
  <si>
    <t>7.75B</t>
  </si>
  <si>
    <t>6.71B</t>
  </si>
  <si>
    <t>6.74B</t>
  </si>
  <si>
    <t>6.73B</t>
  </si>
  <si>
    <t>6.82B</t>
  </si>
  <si>
    <t>6.12B</t>
  </si>
  <si>
    <t>4.42B</t>
  </si>
  <si>
    <t>4.25B</t>
  </si>
  <si>
    <t>5.67B</t>
  </si>
  <si>
    <t>6.25B</t>
  </si>
  <si>
    <t>5.80B</t>
  </si>
  <si>
    <t>5.14B</t>
  </si>
  <si>
    <t>5.74B</t>
  </si>
  <si>
    <t>4.46B</t>
  </si>
  <si>
    <t>5.62B</t>
  </si>
  <si>
    <t>5.69B</t>
  </si>
  <si>
    <t>5.63B</t>
  </si>
  <si>
    <t>4.74B</t>
  </si>
  <si>
    <t>5.26B</t>
  </si>
  <si>
    <t>4.54B</t>
  </si>
  <si>
    <t>6.90B</t>
  </si>
  <si>
    <t>5.59B</t>
  </si>
  <si>
    <t>5.48B</t>
  </si>
  <si>
    <t>5.51B</t>
  </si>
  <si>
    <t>6.34B</t>
  </si>
  <si>
    <t>5.66B</t>
  </si>
  <si>
    <t>7.96B</t>
  </si>
  <si>
    <t>5.44B</t>
  </si>
  <si>
    <t>5.85B</t>
  </si>
  <si>
    <t>7.65B</t>
  </si>
  <si>
    <t>6.96B</t>
  </si>
  <si>
    <t>6.35B</t>
  </si>
  <si>
    <t>6.00B</t>
  </si>
  <si>
    <t>8.08B</t>
  </si>
  <si>
    <t>10.27B</t>
  </si>
  <si>
    <t>9.64B</t>
  </si>
  <si>
    <t>11.36B</t>
  </si>
  <si>
    <t>14.31B</t>
  </si>
  <si>
    <t>13.02B</t>
  </si>
  <si>
    <t>12.08B</t>
  </si>
  <si>
    <t>13.11B</t>
  </si>
  <si>
    <t>11.60B</t>
  </si>
  <si>
    <t>13.45B</t>
  </si>
  <si>
    <t>14.04B</t>
  </si>
  <si>
    <t>14.64B</t>
  </si>
  <si>
    <t>16.78B</t>
  </si>
  <si>
    <t>13.68B</t>
  </si>
  <si>
    <t>12.74B</t>
  </si>
  <si>
    <t>21.30B</t>
  </si>
  <si>
    <t>11.19B</t>
  </si>
  <si>
    <t>11.93B</t>
  </si>
  <si>
    <t>12.55B</t>
  </si>
  <si>
    <t>13.18B</t>
  </si>
  <si>
    <t>15.62B</t>
  </si>
  <si>
    <t>12.21B</t>
  </si>
  <si>
    <t>11.15B</t>
  </si>
  <si>
    <t>9.99B</t>
  </si>
  <si>
    <t>6.79B</t>
  </si>
  <si>
    <t>8.65B</t>
  </si>
  <si>
    <t>6.52B</t>
  </si>
  <si>
    <t>6.86B</t>
  </si>
  <si>
    <t>7.46B</t>
  </si>
  <si>
    <t>7.43B</t>
  </si>
  <si>
    <t>8.14B</t>
  </si>
  <si>
    <t>6.03B</t>
  </si>
  <si>
    <t>5.41B</t>
  </si>
  <si>
    <t>5.29B</t>
  </si>
  <si>
    <t>4.83B</t>
  </si>
  <si>
    <t>4.95B</t>
  </si>
  <si>
    <t>4.52B</t>
  </si>
  <si>
    <t>4.53B</t>
  </si>
  <si>
    <t>4.84B</t>
  </si>
  <si>
    <t>3.61B</t>
  </si>
  <si>
    <t>4.79B</t>
  </si>
  <si>
    <t>4.64B</t>
  </si>
  <si>
    <t>4.29B</t>
  </si>
  <si>
    <t>4.30B</t>
  </si>
  <si>
    <t>3.85B</t>
  </si>
  <si>
    <t>3.67B</t>
  </si>
  <si>
    <t>4.68B</t>
  </si>
  <si>
    <t>3.15B</t>
  </si>
  <si>
    <t>4.98B</t>
  </si>
  <si>
    <t>4.13B</t>
  </si>
  <si>
    <t>3.22B</t>
  </si>
  <si>
    <t>4.73B</t>
  </si>
  <si>
    <t>3.42B</t>
  </si>
  <si>
    <t>4.02B</t>
  </si>
  <si>
    <t>4.22B</t>
  </si>
  <si>
    <t>4.32B</t>
  </si>
  <si>
    <t>4.50B</t>
  </si>
  <si>
    <t>3.65B</t>
  </si>
  <si>
    <t>4.96B</t>
  </si>
  <si>
    <t>5.33B</t>
  </si>
  <si>
    <t>3.96B</t>
  </si>
  <si>
    <t xml:space="preserve">NIFTY DAILY </t>
  </si>
  <si>
    <t>NIFTY MONTHLY</t>
  </si>
  <si>
    <t>S&amp;P 500</t>
  </si>
  <si>
    <t>Index</t>
  </si>
  <si>
    <t>Rural</t>
  </si>
  <si>
    <t>Urban</t>
  </si>
  <si>
    <t>(ii)</t>
  </si>
  <si>
    <t>(iii)</t>
  </si>
  <si>
    <t>(iv)</t>
  </si>
  <si>
    <t>(v)</t>
  </si>
  <si>
    <t>(vi)</t>
  </si>
  <si>
    <t>(vii)</t>
  </si>
  <si>
    <t>GOLD INR</t>
  </si>
  <si>
    <t>GOLD USD</t>
  </si>
  <si>
    <t>Annexure-IV</t>
  </si>
  <si>
    <t>All India Combined (General) level index and inflation</t>
  </si>
  <si>
    <t>Inflation (%)</t>
  </si>
  <si>
    <t>Combined</t>
  </si>
  <si>
    <t>(i)</t>
  </si>
  <si>
    <t>Jan-25</t>
  </si>
  <si>
    <t>Feb-25</t>
  </si>
  <si>
    <t>Mar-25</t>
  </si>
  <si>
    <t>Apr-25</t>
  </si>
  <si>
    <t>May-25</t>
  </si>
  <si>
    <t>Jun-25</t>
  </si>
  <si>
    <t>Jul-25</t>
  </si>
  <si>
    <t>Aug-25</t>
  </si>
  <si>
    <t>Sep-25</t>
  </si>
  <si>
    <t>Oct-25</t>
  </si>
  <si>
    <t>Nov-25</t>
  </si>
  <si>
    <t>Dec-25</t>
  </si>
  <si>
    <t>Jan-26</t>
  </si>
  <si>
    <t>Feb-26</t>
  </si>
  <si>
    <t>Apr-26</t>
  </si>
  <si>
    <t>May-26</t>
  </si>
  <si>
    <t>Jun-26</t>
  </si>
  <si>
    <t>Jul-26</t>
  </si>
  <si>
    <t>Aug-26*</t>
  </si>
  <si>
    <t>*Index and Inflation for the month of August 2026 are provisional.</t>
  </si>
  <si>
    <t>Year</t>
  </si>
  <si>
    <t>Combined CPI Index (2024=100)</t>
  </si>
  <si>
    <t>Rural CPI Index (2024=100)</t>
  </si>
  <si>
    <t>Urban CPI Index (2024=100)</t>
  </si>
  <si>
    <t>Combined YoY Inflation (%)</t>
  </si>
  <si>
    <t>Rural YoY Inflation (%)</t>
  </si>
  <si>
    <t>Urban YoY Inflation (%)</t>
  </si>
  <si>
    <t>First Date</t>
  </si>
  <si>
    <t>Last Date</t>
  </si>
  <si>
    <t>S&amp;P 500 US equity value in INR (index)</t>
  </si>
  <si>
    <t>Formula</t>
  </si>
  <si>
    <t>Nifty 50 TRI experienced the deepest monthly-observation drawdown of the three series, despite producing a positive long-term return.</t>
  </si>
  <si>
    <t>Gold has delivered substantial nominal growth in the supplied INR series, but the result is not the same as the realised return from buying physical gold or a gold fund.</t>
  </si>
  <si>
    <t xml:space="preserve">The S&amp;P 500 INR proxy has the highest calculated return in this sample, with gold close behind. Currency conversion is part of this result.
</t>
  </si>
  <si>
    <t>The results are historical, not predictive. They do not establish which asset will perform best in the future.</t>
  </si>
  <si>
    <r>
      <rPr>
        <b/>
        <i/>
        <sz val="16"/>
        <color theme="1"/>
        <rFont val="Cambria"/>
        <family val="1"/>
      </rPr>
      <t xml:space="preserve">Inflation matters: </t>
    </r>
    <r>
      <rPr>
        <sz val="16"/>
        <color theme="1"/>
        <rFont val="Cambria"/>
        <family val="1"/>
      </rPr>
      <t>the CPI series rises from 66.50 to 108.74, meaning nominal gains overstate the increase in purchasing power.</t>
    </r>
  </si>
  <si>
    <t xml:space="preserve">Initial investment </t>
  </si>
  <si>
    <t xml:space="preserve">Investment horizon </t>
  </si>
  <si>
    <t>Nifty annual return</t>
  </si>
  <si>
    <t>S&amp;P 500 annual USD return</t>
  </si>
  <si>
    <t>Annual INR depreciation</t>
  </si>
  <si>
    <t>Gold annual INR return</t>
  </si>
  <si>
    <t>Annual inflation</t>
  </si>
  <si>
    <t>Nifty ending value</t>
  </si>
  <si>
    <t>S&amp;P 500 ending value in INR</t>
  </si>
  <si>
    <t>Gold ending value</t>
  </si>
  <si>
    <t>Inflation-adjusted Nifty value</t>
  </si>
  <si>
    <t>Inflation-adjusted S&amp;P value</t>
  </si>
  <si>
    <t>Inflation-adjusted Gold value</t>
  </si>
  <si>
    <t>Optimistic</t>
  </si>
  <si>
    <t>Created by Nandhakumar T on 10-10-2026
Modified by Nandhakumar T on 10-10-2026</t>
  </si>
  <si>
    <t>Best case</t>
  </si>
  <si>
    <t>Stress Case</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</si>
  <si>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</si>
  <si>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</si>
  <si>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</si>
  <si>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</si>
  <si>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</si>
  <si>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</si>
  <si>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</si>
  <si>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 xml:space="preserve">Variables : </t>
  </si>
  <si>
    <t>Value</t>
  </si>
  <si>
    <t>Nominal and Inflation-Adjusted Future Values</t>
  </si>
  <si>
    <t>1. On the supplied monthly series, the S&amp;P 500 converted into INR has the highest historical CAGR, with source INR gold close behind; Nifty 50 TRI has the lowest CAGR of the three.</t>
  </si>
  <si>
    <t>2. Nifty 50 TRI shows the deepest maximum drawdown in the supplied monthly observations. This indicates that the strongest or weakest long-run return alone does not describe the investor experience.</t>
  </si>
  <si>
    <t>3. INR conversion matters: the return to an Indian investor in a USD-denominated asset reflects both the underlying USD asset return and changes in USD/INR. The current S&amp;P conversion uses monthly-average FX, so it is a proxy rather than a strict month-end valuation.</t>
  </si>
  <si>
    <t>4. Gold INR source prices and USD gold converted using USD/INR can differ because of source timing, local pricing, premiums, taxes, and market conventions. The table uses the source INR series for the reported Gold INR performance.</t>
  </si>
  <si>
    <t>5. Nominal returns are not the same as purchasing-power growth. Use a consistent, verified CPI series and the same start/end dates before presenting real-return conclusions.</t>
  </si>
  <si>
    <t>Inferences</t>
  </si>
  <si>
    <t>$B$4</t>
  </si>
  <si>
    <t>$B$5</t>
  </si>
  <si>
    <t>$B$6</t>
  </si>
  <si>
    <t>$B$7</t>
  </si>
  <si>
    <t>$B$8</t>
  </si>
  <si>
    <t>$B$11</t>
  </si>
  <si>
    <t>$B$12</t>
  </si>
  <si>
    <t>$B$13</t>
  </si>
  <si>
    <t>$B$14</t>
  </si>
  <si>
    <t>$B$15</t>
  </si>
  <si>
    <t>$B$16</t>
  </si>
  <si>
    <t>1. Historical investment performance</t>
  </si>
  <si>
    <t>Across the January 2016–September 2026 sample, the S&amp;P 500 converted into INR recorded the highest calculated CAGR at 17.52%, followed closely by source INR gold at 16.84%. Nifty 50 TRI recorded a CAGR of 10.82%. On the supplied starting and ending values, the corresponding growth multiples were approximately 5.59×, 5.26× and 2.99×, respectively.</t>
  </si>
  <si>
    <t>2. Currency conversion matters</t>
  </si>
  <si>
    <t>The return experienced by an Indian investor in a US asset depends on both the asset's USD return and movements in USD/INR. Rupee depreciation can increase the INR value of US investments, while rupee appreciation can reduce it. The S&amp;P 500 INR result is therefore a currency-adjusted proxy, not simply the S&amp;P 500's US-market return.</t>
  </si>
  <si>
    <t>3. Risk and drawdowns</t>
  </si>
  <si>
    <t>The supplied monthly series shows the deepest observed drawdown for Nifty 50 TRI at −29.34%, compared with −21.08% for source INR gold and −19.92% for the S&amp;P 500 INR proxy. This suggests that, in this sample, Nifty experienced the largest peak-to-trough decline. Drawdown measures historical downside from a previous peak; it does not measure every aspect of investment risk.</t>
  </si>
  <si>
    <t>4. Nominal returns versus purchasing power</t>
  </si>
  <si>
    <t>Nominal growth does not fully represent the improvement in purchasing power. The investment values should therefore be assessed alongside a consistently sourced CPI series. The inflation-adjusted scenario outputs are only reliable after the CPI calculation and inflation assumptions have been corrected and verified.</t>
  </si>
  <si>
    <t>5. Scenario analysis</t>
  </si>
  <si>
    <t>Scenario Manager illustrates how future values change when assumptions about asset returns, exchange-rate depreciation and inflation change. These scenarios are hypothetical sensitivity tests, not predictions. Their purpose is to reveal which assumptions have the greatest influence on the result.</t>
  </si>
  <si>
    <t>Overall conclusion</t>
  </si>
  <si>
    <t>In this historical sample, the S&amp;P 500 INR proxy and source INR gold outperformed Nifty 50 TRI on annualised nominal return, while Nifty 50 TRI experienced the largest observed drawdown. The comparison highlights the importance of currency effects, risk and inflation when evaluating investments from an Indian investor's perspective. It does not establish that gold or US equities will outperform Indian equities in the future.</t>
  </si>
  <si>
    <t>The findings depend on the quality, timing, units and consistency of the supplied monthly series. The S&amp;P 500 conversion uses monthly-average USD/INR data and should be described as a proxy. The S&amp;P index's total-return status and the CPI series must be verified. The analysis also excludes transaction costs, taxes, fund expenses, tracking error and other investor-specific costs.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</si>
</sst>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 &quot;₹&quot;\ * #,##0.00_ ;_ &quot;₹&quot;\ * \-#,##0.00_ ;_ &quot;₹&quot;\ * &quot;-&quot;??_ ;_ @_ "/>
    <numFmt numFmtId="164" formatCode="yyyy\-mm\-dd"/>
    <numFmt numFmtId="165" formatCode="mmm\ yyyy"/>
    <numFmt numFmtId="166" formatCode="\₹#,##0.00"/>
    <numFmt numFmtId="167" formatCode="0.0000"/>
    <numFmt numFmtId="168" formatCode="0.000%"/>
    <numFmt numFmtId="169" formatCode="0.0%"/>
    <numFmt numFmtId="170" formatCode="_ &quot;₹&quot;\ * #,##0_ ;_ &quot;₹&quot;\ * \-#,##0_ ;_ &quot;₹&quot;\ * &quot;-&quot;??_ ;_ @_ "/>
  </numFmts>
  <fonts count="42" x14ac:knownFonts="1">
    <font>
      <sz val="11"/>
      <color theme="1"/>
      <name val="Calibri"/>
      <family val="2"/>
      <scheme val="minor"/>
    </font>
    <font>
      <sz val="12"/>
      <color theme="10"/>
      <name val="Calibri"/>
      <family val="2"/>
      <scheme val="minor"/>
    </font>
    <font>
      <b/>
      <sz val="18"/>
      <color theme="1"/>
      <name val="Cambria"/>
      <family val="1"/>
    </font>
    <font>
      <sz val="11"/>
      <color theme="1"/>
      <name val="Cambria"/>
      <family val="1"/>
    </font>
    <font>
      <b/>
      <sz val="11"/>
      <color rgb="FF17365D"/>
      <name val="Cambria"/>
      <family val="1"/>
    </font>
    <font>
      <b/>
      <sz val="12"/>
      <color rgb="FFFFFFFF"/>
      <name val="Cambria"/>
      <family val="1"/>
    </font>
    <font>
      <b/>
      <sz val="11"/>
      <name val="Cambria"/>
      <family val="1"/>
    </font>
    <font>
      <sz val="12"/>
      <color theme="10"/>
      <name val="Cambria"/>
      <family val="1"/>
    </font>
    <font>
      <b/>
      <i/>
      <sz val="12"/>
      <color theme="0"/>
      <name val="Cambria"/>
      <family val="1"/>
    </font>
    <font>
      <b/>
      <sz val="11"/>
      <color theme="0"/>
      <name val="Cambria"/>
      <family val="1"/>
    </font>
    <font>
      <sz val="11"/>
      <color theme="1"/>
      <name val="Calibri"/>
      <family val="2"/>
      <scheme val="minor"/>
    </font>
    <font>
      <sz val="11"/>
      <color theme="1"/>
      <name val="Cambria"/>
      <family val="1"/>
      <scheme val="major"/>
    </font>
    <font>
      <b/>
      <sz val="12"/>
      <color theme="0"/>
      <name val="Cambria"/>
      <family val="1"/>
      <scheme val="major"/>
    </font>
    <font>
      <sz val="12"/>
      <color theme="1"/>
      <name val="Cambria"/>
      <family val="1"/>
      <scheme val="major"/>
    </font>
    <font>
      <b/>
      <sz val="11"/>
      <color rgb="FFFFFFFF"/>
      <name val="Cambria"/>
      <family val="1"/>
      <scheme val="major"/>
    </font>
    <font>
      <b/>
      <sz val="11.5"/>
      <color rgb="FFFFFFFF"/>
      <name val="Cambria"/>
      <family val="1"/>
      <scheme val="major"/>
    </font>
    <font>
      <sz val="11.5"/>
      <color theme="1"/>
      <name val="Cambria"/>
      <family val="1"/>
      <scheme val="major"/>
    </font>
    <font>
      <b/>
      <i/>
      <sz val="11"/>
      <color theme="1"/>
      <name val="Cambria"/>
      <family val="1"/>
      <scheme val="major"/>
    </font>
    <font>
      <b/>
      <sz val="16"/>
      <color rgb="FFFFFFFF"/>
      <name val="Cambria"/>
      <family val="1"/>
    </font>
    <font>
      <sz val="16"/>
      <color theme="1"/>
      <name val="Cambria"/>
      <family val="1"/>
    </font>
    <font>
      <b/>
      <sz val="16"/>
      <color rgb="FF17365D"/>
      <name val="Cambria"/>
      <family val="1"/>
    </font>
    <font>
      <b/>
      <i/>
      <sz val="16"/>
      <color theme="5"/>
      <name val="Cambria"/>
      <family val="1"/>
    </font>
    <font>
      <b/>
      <i/>
      <sz val="16"/>
      <color theme="1"/>
      <name val="Cambria"/>
      <family val="1"/>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
      <b/>
      <sz val="12"/>
      <color indexed="9"/>
      <name val="Cambria"/>
      <family val="1"/>
      <scheme val="major"/>
    </font>
    <font>
      <b/>
      <sz val="12"/>
      <color indexed="18"/>
      <name val="Cambria"/>
      <family val="1"/>
      <scheme val="major"/>
    </font>
    <font>
      <b/>
      <sz val="12"/>
      <color theme="1"/>
      <name val="Cambria"/>
      <family val="1"/>
      <scheme val="major"/>
    </font>
    <font>
      <b/>
      <sz val="12"/>
      <color rgb="FFFFFFFF"/>
      <name val="Cambria"/>
      <family val="1"/>
      <scheme val="major"/>
    </font>
    <font>
      <sz val="12"/>
      <color theme="0"/>
      <name val="Cambria"/>
      <family val="1"/>
      <scheme val="major"/>
    </font>
    <font>
      <b/>
      <sz val="12"/>
      <color rgb="FF000000"/>
      <name val="Cambria"/>
      <family val="1"/>
      <scheme val="major"/>
    </font>
    <font>
      <i/>
      <sz val="12"/>
      <color rgb="FF000000"/>
      <name val="Cambria"/>
      <family val="1"/>
      <scheme val="major"/>
    </font>
    <font>
      <sz val="12"/>
      <color rgb="FF000000"/>
      <name val="Cambria"/>
      <family val="1"/>
      <scheme val="major"/>
    </font>
    <font>
      <b/>
      <sz val="14"/>
      <color rgb="FFFFFFFF"/>
      <name val="Cambria"/>
      <family val="1"/>
      <scheme val="major"/>
    </font>
    <font>
      <sz val="14"/>
      <color theme="1"/>
      <name val="Cambria"/>
      <family val="1"/>
      <scheme val="major"/>
    </font>
    <font>
      <sz val="14"/>
      <color rgb="FF000000"/>
      <name val="Cambria"/>
      <family val="1"/>
      <scheme val="major"/>
    </font>
    <font>
      <sz val="16"/>
      <color theme="1"/>
      <name val="Cambria"/>
      <family val="1"/>
      <scheme val="major"/>
    </font>
    <font>
      <b/>
      <sz val="18"/>
      <color theme="0"/>
      <name val="Cambria"/>
      <family val="1"/>
      <scheme val="major"/>
    </font>
    <font>
      <sz val="18"/>
      <color theme="0"/>
      <name val="Cambria"/>
      <family val="1"/>
    </font>
  </fonts>
  <fills count="28">
    <fill>
      <patternFill patternType="none"/>
    </fill>
    <fill>
      <patternFill patternType="gray125"/>
    </fill>
    <fill>
      <patternFill patternType="solid">
        <fgColor rgb="FF17365D"/>
      </patternFill>
    </fill>
    <fill>
      <patternFill patternType="solid">
        <fgColor rgb="FFD9EAF7"/>
      </patternFill>
    </fill>
    <fill>
      <patternFill patternType="solid">
        <fgColor rgb="FFFFC000"/>
        <bgColor indexed="64"/>
      </patternFill>
    </fill>
    <fill>
      <patternFill patternType="solid">
        <fgColor rgb="FF002060"/>
        <bgColor indexed="64"/>
      </patternFill>
    </fill>
    <fill>
      <patternFill patternType="solid">
        <fgColor rgb="FFFFFF00"/>
        <bgColor indexed="64"/>
      </patternFill>
    </fill>
    <fill>
      <patternFill patternType="solid">
        <fgColor theme="6" tint="0.79998168889431442"/>
        <bgColor indexed="64"/>
      </patternFill>
    </fill>
    <fill>
      <patternFill patternType="solid">
        <fgColor theme="5"/>
        <bgColor indexed="64"/>
      </patternFill>
    </fill>
    <fill>
      <patternFill patternType="solid">
        <fgColor theme="2" tint="-0.249977111117893"/>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rgb="FFFFFFCC"/>
        <bgColor indexed="64"/>
      </patternFill>
    </fill>
    <fill>
      <patternFill patternType="solid">
        <fgColor theme="3" tint="0.79998168889431442"/>
        <bgColor indexed="64"/>
      </patternFill>
    </fill>
    <fill>
      <patternFill patternType="solid">
        <fgColor theme="2" tint="-9.9978637043366805E-2"/>
        <bgColor indexed="64"/>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rgb="FF002060"/>
        <bgColor indexed="24"/>
      </patternFill>
    </fill>
    <fill>
      <patternFill patternType="solid">
        <fgColor rgb="FF99FF99"/>
        <bgColor indexed="7"/>
      </patternFill>
    </fill>
    <fill>
      <patternFill patternType="solid">
        <fgColor theme="9" tint="0.59999389629810485"/>
        <bgColor indexed="7"/>
      </patternFill>
    </fill>
    <fill>
      <patternFill patternType="solid">
        <fgColor theme="5" tint="0.79998168889431442"/>
        <bgColor indexed="7"/>
      </patternFill>
    </fill>
    <fill>
      <patternFill patternType="solid">
        <fgColor rgb="FFFFFFCC"/>
        <bgColor indexed="7"/>
      </patternFill>
    </fill>
    <fill>
      <patternFill patternType="solid">
        <fgColor theme="3" tint="-0.499984740745262"/>
        <bgColor indexed="64"/>
      </patternFill>
    </fill>
    <fill>
      <patternFill patternType="solid">
        <fgColor theme="0" tint="-0.249977111117893"/>
        <bgColor indexed="24"/>
      </patternFill>
    </fill>
    <fill>
      <patternFill patternType="solid">
        <fgColor theme="0" tint="-0.249977111117893"/>
        <bgColor indexed="64"/>
      </patternFill>
    </fill>
    <fill>
      <patternFill patternType="solid">
        <fgColor rgb="FFFFCCFF"/>
        <bgColor indexed="64"/>
      </patternFill>
    </fill>
    <fill>
      <patternFill patternType="solid">
        <fgColor theme="2"/>
        <bgColor indexed="64"/>
      </patternFill>
    </fill>
  </fills>
  <borders count="2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right/>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auto="1"/>
      </right>
      <top/>
      <bottom style="medium">
        <color indexed="64"/>
      </bottom>
      <diagonal/>
    </border>
    <border>
      <left/>
      <right/>
      <top style="thin">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medium">
        <color indexed="64"/>
      </left>
      <right style="thin">
        <color indexed="64"/>
      </right>
      <top/>
      <bottom/>
      <diagonal/>
    </border>
  </borders>
  <cellStyleXfs count="4">
    <xf numFmtId="0" fontId="0" fillId="0" borderId="0"/>
    <xf numFmtId="0" fontId="1" fillId="0" borderId="0"/>
    <xf numFmtId="9" fontId="10" fillId="0" borderId="0" applyFont="0" applyFill="0" applyBorder="0" applyAlignment="0" applyProtection="0"/>
    <xf numFmtId="44" fontId="10" fillId="0" borderId="0" applyFont="0" applyFill="0" applyBorder="0" applyAlignment="0" applyProtection="0"/>
  </cellStyleXfs>
  <cellXfs count="157">
    <xf numFmtId="0" fontId="0" fillId="0" borderId="0" xfId="0"/>
    <xf numFmtId="0" fontId="3" fillId="0" borderId="0" xfId="0" applyFont="1"/>
    <xf numFmtId="0" fontId="6" fillId="0" borderId="0" xfId="0" applyFont="1"/>
    <xf numFmtId="164" fontId="13" fillId="0" borderId="9" xfId="0" applyNumberFormat="1" applyFont="1" applyBorder="1" applyAlignment="1">
      <alignment horizontal="center" vertical="center"/>
    </xf>
    <xf numFmtId="167" fontId="13" fillId="0" borderId="9" xfId="0" applyNumberFormat="1" applyFont="1" applyBorder="1" applyAlignment="1">
      <alignment horizontal="center" vertical="center"/>
    </xf>
    <xf numFmtId="167" fontId="16" fillId="12" borderId="9" xfId="0" applyNumberFormat="1" applyFont="1" applyFill="1" applyBorder="1" applyAlignment="1">
      <alignment horizontal="center" vertical="center"/>
    </xf>
    <xf numFmtId="3" fontId="16" fillId="12" borderId="9" xfId="0" applyNumberFormat="1" applyFont="1" applyFill="1" applyBorder="1" applyAlignment="1">
      <alignment horizontal="center"/>
    </xf>
    <xf numFmtId="4" fontId="16" fillId="12" borderId="9" xfId="0" applyNumberFormat="1" applyFont="1" applyFill="1" applyBorder="1" applyAlignment="1">
      <alignment horizontal="center"/>
    </xf>
    <xf numFmtId="2" fontId="16" fillId="12" borderId="9" xfId="0" applyNumberFormat="1" applyFont="1" applyFill="1" applyBorder="1" applyAlignment="1">
      <alignment horizontal="center"/>
    </xf>
    <xf numFmtId="0" fontId="15" fillId="2" borderId="9" xfId="0" applyFont="1" applyFill="1" applyBorder="1" applyAlignment="1">
      <alignment horizontal="center" vertical="center" wrapText="1"/>
    </xf>
    <xf numFmtId="165" fontId="16" fillId="0" borderId="9" xfId="0" applyNumberFormat="1" applyFont="1" applyBorder="1" applyAlignment="1">
      <alignment horizontal="center"/>
    </xf>
    <xf numFmtId="10" fontId="16" fillId="0" borderId="9" xfId="0" applyNumberFormat="1" applyFont="1" applyBorder="1" applyAlignment="1">
      <alignment horizontal="center"/>
    </xf>
    <xf numFmtId="166" fontId="16" fillId="0" borderId="9" xfId="0" applyNumberFormat="1" applyFont="1" applyBorder="1" applyAlignment="1">
      <alignment horizontal="center"/>
    </xf>
    <xf numFmtId="0" fontId="14" fillId="2" borderId="0" xfId="0" applyFont="1" applyFill="1" applyAlignment="1">
      <alignment horizontal="center" vertical="center" wrapText="1"/>
    </xf>
    <xf numFmtId="0" fontId="11" fillId="0" borderId="0" xfId="0" applyFont="1" applyAlignment="1">
      <alignment vertical="center" wrapText="1"/>
    </xf>
    <xf numFmtId="0" fontId="17" fillId="13" borderId="0" xfId="0" applyFont="1" applyFill="1" applyAlignment="1">
      <alignment vertical="center" wrapText="1"/>
    </xf>
    <xf numFmtId="0" fontId="4" fillId="3" borderId="1" xfId="0" applyFont="1" applyFill="1" applyBorder="1" applyAlignment="1">
      <alignment horizontal="left" vertical="center" indent="14"/>
    </xf>
    <xf numFmtId="0" fontId="4" fillId="3" borderId="4" xfId="0" applyFont="1" applyFill="1" applyBorder="1" applyAlignment="1">
      <alignment horizontal="left" vertical="center" indent="14"/>
    </xf>
    <xf numFmtId="0" fontId="4" fillId="3" borderId="6" xfId="0" applyFont="1" applyFill="1" applyBorder="1" applyAlignment="1">
      <alignment horizontal="left" vertical="center" indent="14"/>
    </xf>
    <xf numFmtId="3" fontId="16" fillId="0" borderId="9" xfId="0" applyNumberFormat="1" applyFont="1" applyBorder="1" applyAlignment="1">
      <alignment horizontal="center"/>
    </xf>
    <xf numFmtId="10" fontId="0" fillId="0" borderId="0" xfId="2" applyNumberFormat="1" applyFont="1"/>
    <xf numFmtId="0" fontId="19" fillId="0" borderId="0" xfId="0" applyFont="1" applyAlignment="1">
      <alignment vertical="center"/>
    </xf>
    <xf numFmtId="0" fontId="18" fillId="2" borderId="0" xfId="0" applyFont="1" applyFill="1" applyAlignment="1">
      <alignment horizontal="center" vertical="center" wrapText="1"/>
    </xf>
    <xf numFmtId="0" fontId="18" fillId="2" borderId="9" xfId="0" applyFont="1" applyFill="1" applyBorder="1" applyAlignment="1">
      <alignment horizontal="center" vertical="center" wrapText="1"/>
    </xf>
    <xf numFmtId="0" fontId="20" fillId="3" borderId="9" xfId="0" applyFont="1" applyFill="1" applyBorder="1" applyAlignment="1">
      <alignment vertical="center" wrapText="1"/>
    </xf>
    <xf numFmtId="3" fontId="19" fillId="0" borderId="9" xfId="0" applyNumberFormat="1" applyFont="1" applyBorder="1" applyAlignment="1">
      <alignment horizontal="center" vertical="center" wrapText="1"/>
    </xf>
    <xf numFmtId="4" fontId="19" fillId="0" borderId="9" xfId="0" applyNumberFormat="1" applyFont="1" applyBorder="1" applyAlignment="1">
      <alignment horizontal="center" vertical="center" wrapText="1"/>
    </xf>
    <xf numFmtId="0" fontId="19" fillId="0" borderId="9" xfId="0" applyFont="1" applyBorder="1" applyAlignment="1">
      <alignment horizontal="center" vertical="center" wrapText="1"/>
    </xf>
    <xf numFmtId="2" fontId="19" fillId="0" borderId="9" xfId="0" applyNumberFormat="1" applyFont="1" applyBorder="1" applyAlignment="1">
      <alignment horizontal="center" vertical="center" wrapText="1"/>
    </xf>
    <xf numFmtId="9" fontId="19" fillId="0" borderId="9" xfId="2" applyFont="1" applyBorder="1" applyAlignment="1">
      <alignment horizontal="center" vertical="center" wrapText="1"/>
    </xf>
    <xf numFmtId="168" fontId="19" fillId="0" borderId="9" xfId="2" applyNumberFormat="1" applyFont="1" applyBorder="1" applyAlignment="1">
      <alignment horizontal="center" vertical="center" wrapText="1"/>
    </xf>
    <xf numFmtId="10" fontId="21" fillId="0" borderId="9" xfId="2" applyNumberFormat="1" applyFont="1" applyBorder="1" applyAlignment="1">
      <alignment horizontal="center" vertical="center" wrapText="1"/>
    </xf>
    <xf numFmtId="0" fontId="20" fillId="3" borderId="0" xfId="0" applyFont="1" applyFill="1" applyAlignment="1">
      <alignment vertical="center" wrapText="1"/>
    </xf>
    <xf numFmtId="14" fontId="19" fillId="0" borderId="0" xfId="0" applyNumberFormat="1" applyFont="1" applyAlignment="1">
      <alignment vertical="center"/>
    </xf>
    <xf numFmtId="3" fontId="19" fillId="0" borderId="0" xfId="0" applyNumberFormat="1" applyFont="1" applyAlignment="1">
      <alignment vertical="center"/>
    </xf>
    <xf numFmtId="3" fontId="19" fillId="0" borderId="0" xfId="0" applyNumberFormat="1" applyFont="1" applyAlignment="1">
      <alignment vertical="center" wrapText="1"/>
    </xf>
    <xf numFmtId="3" fontId="19" fillId="12" borderId="0" xfId="0" applyNumberFormat="1" applyFont="1" applyFill="1" applyAlignment="1">
      <alignment vertical="center"/>
    </xf>
    <xf numFmtId="0" fontId="19" fillId="12" borderId="0" xfId="0" applyFont="1" applyFill="1" applyAlignment="1">
      <alignment horizontal="left" vertical="center"/>
    </xf>
    <xf numFmtId="0" fontId="19" fillId="12" borderId="0" xfId="0" applyFont="1" applyFill="1" applyAlignment="1">
      <alignment horizontal="left" vertical="center" wrapText="1"/>
    </xf>
    <xf numFmtId="0" fontId="23" fillId="15" borderId="11" xfId="0" applyFont="1" applyFill="1" applyBorder="1" applyAlignment="1">
      <alignment horizontal="left"/>
    </xf>
    <xf numFmtId="0" fontId="23" fillId="15" borderId="2" xfId="0" applyFont="1" applyFill="1" applyBorder="1" applyAlignment="1">
      <alignment horizontal="left"/>
    </xf>
    <xf numFmtId="0" fontId="25" fillId="16" borderId="14" xfId="0" applyFont="1" applyFill="1" applyBorder="1" applyAlignment="1">
      <alignment horizontal="left"/>
    </xf>
    <xf numFmtId="0" fontId="24" fillId="16" borderId="7" xfId="0" applyFont="1" applyFill="1" applyBorder="1" applyAlignment="1">
      <alignment horizontal="left"/>
    </xf>
    <xf numFmtId="0" fontId="26" fillId="15" borderId="2" xfId="0" applyFont="1" applyFill="1" applyBorder="1" applyAlignment="1">
      <alignment horizontal="right"/>
    </xf>
    <xf numFmtId="0" fontId="26" fillId="15" borderId="11" xfId="0" applyFont="1" applyFill="1" applyBorder="1" applyAlignment="1">
      <alignment horizontal="right"/>
    </xf>
    <xf numFmtId="0" fontId="28" fillId="18" borderId="11" xfId="0" applyFont="1" applyFill="1" applyBorder="1" applyAlignment="1">
      <alignment horizontal="left"/>
    </xf>
    <xf numFmtId="0" fontId="13" fillId="0" borderId="0" xfId="0" applyFont="1"/>
    <xf numFmtId="10" fontId="13" fillId="0" borderId="0" xfId="2" applyNumberFormat="1" applyFont="1" applyAlignment="1">
      <alignment vertical="center" wrapText="1"/>
    </xf>
    <xf numFmtId="169" fontId="13" fillId="0" borderId="0" xfId="2" applyNumberFormat="1" applyFont="1" applyFill="1" applyBorder="1" applyAlignment="1">
      <alignment horizontal="center" vertical="center"/>
    </xf>
    <xf numFmtId="169" fontId="13" fillId="19" borderId="0" xfId="2" applyNumberFormat="1" applyFont="1" applyFill="1" applyBorder="1" applyAlignment="1">
      <alignment horizontal="center" vertical="center"/>
    </xf>
    <xf numFmtId="169" fontId="13" fillId="20" borderId="0" xfId="2" applyNumberFormat="1" applyFont="1" applyFill="1" applyBorder="1" applyAlignment="1">
      <alignment horizontal="center" vertical="center"/>
    </xf>
    <xf numFmtId="169" fontId="13" fillId="21" borderId="0" xfId="2" applyNumberFormat="1" applyFont="1" applyFill="1" applyBorder="1" applyAlignment="1">
      <alignment horizontal="center" vertical="center"/>
    </xf>
    <xf numFmtId="0" fontId="12" fillId="5" borderId="0" xfId="0" applyFont="1" applyFill="1" applyAlignment="1">
      <alignment horizontal="center" vertical="center" wrapText="1"/>
    </xf>
    <xf numFmtId="0" fontId="13" fillId="25" borderId="14" xfId="0" applyFont="1" applyFill="1" applyBorder="1"/>
    <xf numFmtId="0" fontId="12" fillId="18" borderId="11" xfId="0" applyFont="1" applyFill="1" applyBorder="1" applyAlignment="1">
      <alignment horizontal="center" vertical="center"/>
    </xf>
    <xf numFmtId="44" fontId="13" fillId="0" borderId="0" xfId="3" applyFont="1" applyAlignment="1">
      <alignment vertical="center" wrapText="1"/>
    </xf>
    <xf numFmtId="0" fontId="13" fillId="26" borderId="0" xfId="0" applyFont="1" applyFill="1" applyAlignment="1">
      <alignment vertical="center" wrapText="1"/>
    </xf>
    <xf numFmtId="0" fontId="13" fillId="0" borderId="0" xfId="0" applyFont="1" applyAlignment="1">
      <alignment vertical="center"/>
    </xf>
    <xf numFmtId="0" fontId="31" fillId="2" borderId="9" xfId="0" applyFont="1" applyFill="1" applyBorder="1" applyAlignment="1">
      <alignment horizontal="center" vertical="center" wrapText="1"/>
    </xf>
    <xf numFmtId="0" fontId="32" fillId="5" borderId="0" xfId="0" applyFont="1" applyFill="1"/>
    <xf numFmtId="165" fontId="13" fillId="0" borderId="9" xfId="0" applyNumberFormat="1" applyFont="1" applyBorder="1" applyAlignment="1">
      <alignment horizontal="center"/>
    </xf>
    <xf numFmtId="0" fontId="13" fillId="0" borderId="9" xfId="0" applyFont="1" applyBorder="1" applyAlignment="1">
      <alignment horizontal="center"/>
    </xf>
    <xf numFmtId="2" fontId="13" fillId="0" borderId="9" xfId="0" applyNumberFormat="1" applyFont="1" applyBorder="1" applyAlignment="1">
      <alignment horizontal="center"/>
    </xf>
    <xf numFmtId="0" fontId="30" fillId="6" borderId="9" xfId="0" applyFont="1" applyFill="1" applyBorder="1" applyAlignment="1">
      <alignment horizontal="center" vertical="center"/>
    </xf>
    <xf numFmtId="0" fontId="13" fillId="8" borderId="0" xfId="0" applyFont="1" applyFill="1"/>
    <xf numFmtId="14" fontId="13" fillId="0" borderId="9" xfId="0" applyNumberFormat="1" applyFont="1" applyBorder="1" applyAlignment="1">
      <alignment horizontal="center" vertical="center"/>
    </xf>
    <xf numFmtId="4" fontId="13" fillId="0" borderId="9" xfId="0" applyNumberFormat="1" applyFont="1" applyBorder="1" applyAlignment="1">
      <alignment horizontal="center" vertical="center"/>
    </xf>
    <xf numFmtId="0" fontId="13" fillId="0" borderId="9" xfId="0" applyFont="1" applyBorder="1" applyAlignment="1">
      <alignment horizontal="center" vertical="center"/>
    </xf>
    <xf numFmtId="10" fontId="13" fillId="0" borderId="9" xfId="0" applyNumberFormat="1" applyFont="1" applyBorder="1" applyAlignment="1">
      <alignment horizontal="center" vertical="center"/>
    </xf>
    <xf numFmtId="14" fontId="13" fillId="0" borderId="9" xfId="0" applyNumberFormat="1" applyFont="1" applyBorder="1" applyAlignment="1">
      <alignment horizontal="center"/>
    </xf>
    <xf numFmtId="4" fontId="13" fillId="0" borderId="9" xfId="0" applyNumberFormat="1" applyFont="1" applyBorder="1" applyAlignment="1">
      <alignment horizontal="center"/>
    </xf>
    <xf numFmtId="10" fontId="13" fillId="0" borderId="9" xfId="0" applyNumberFormat="1" applyFont="1" applyBorder="1" applyAlignment="1">
      <alignment horizontal="center"/>
    </xf>
    <xf numFmtId="3" fontId="13" fillId="0" borderId="9" xfId="0" applyNumberFormat="1" applyFont="1" applyBorder="1" applyAlignment="1">
      <alignment horizontal="center"/>
    </xf>
    <xf numFmtId="0" fontId="33" fillId="10" borderId="9" xfId="0" applyFont="1" applyFill="1" applyBorder="1" applyAlignment="1">
      <alignment horizontal="center" vertical="center" wrapText="1"/>
    </xf>
    <xf numFmtId="0" fontId="33" fillId="11" borderId="9" xfId="0" applyFont="1" applyFill="1" applyBorder="1" applyAlignment="1">
      <alignment horizontal="center" vertical="center" wrapText="1"/>
    </xf>
    <xf numFmtId="0" fontId="34" fillId="0" borderId="10" xfId="0" applyFont="1" applyBorder="1" applyAlignment="1">
      <alignment horizontal="center" vertical="center" wrapText="1"/>
    </xf>
    <xf numFmtId="0" fontId="34" fillId="0" borderId="8" xfId="0" applyFont="1" applyBorder="1" applyAlignment="1">
      <alignment horizontal="center" vertical="center" wrapText="1"/>
    </xf>
    <xf numFmtId="49" fontId="35" fillId="0" borderId="9" xfId="0" applyNumberFormat="1" applyFont="1" applyBorder="1" applyAlignment="1">
      <alignment horizontal="center" wrapText="1"/>
    </xf>
    <xf numFmtId="2" fontId="35" fillId="0" borderId="9" xfId="0" applyNumberFormat="1" applyFont="1" applyBorder="1" applyAlignment="1">
      <alignment horizontal="center" vertical="center" wrapText="1"/>
    </xf>
    <xf numFmtId="2" fontId="33" fillId="9" borderId="9" xfId="0" applyNumberFormat="1" applyFont="1" applyFill="1" applyBorder="1" applyAlignment="1">
      <alignment horizontal="center" vertical="center" wrapText="1"/>
    </xf>
    <xf numFmtId="2" fontId="13" fillId="9" borderId="9" xfId="0" applyNumberFormat="1" applyFont="1" applyFill="1" applyBorder="1" applyAlignment="1">
      <alignment horizontal="center" wrapText="1"/>
    </xf>
    <xf numFmtId="17" fontId="35" fillId="0" borderId="9" xfId="0" applyNumberFormat="1" applyFont="1" applyBorder="1" applyAlignment="1">
      <alignment horizontal="center" wrapText="1"/>
    </xf>
    <xf numFmtId="2" fontId="13" fillId="0" borderId="9" xfId="2" applyNumberFormat="1" applyFont="1" applyBorder="1" applyAlignment="1">
      <alignment horizontal="center"/>
    </xf>
    <xf numFmtId="0" fontId="35" fillId="0" borderId="0" xfId="0" applyFont="1" applyAlignment="1">
      <alignment vertical="top"/>
    </xf>
    <xf numFmtId="0" fontId="36" fillId="2" borderId="0" xfId="0" applyFont="1" applyFill="1" applyAlignment="1">
      <alignment horizontal="center" vertical="center" wrapText="1"/>
    </xf>
    <xf numFmtId="0" fontId="37" fillId="0" borderId="0" xfId="0" applyFont="1"/>
    <xf numFmtId="0" fontId="38" fillId="0" borderId="0" xfId="0" applyFont="1" applyAlignment="1">
      <alignment vertical="top"/>
    </xf>
    <xf numFmtId="170" fontId="13" fillId="0" borderId="0" xfId="3" applyNumberFormat="1" applyFont="1" applyFill="1" applyBorder="1" applyAlignment="1">
      <alignment horizontal="center" vertical="center"/>
    </xf>
    <xf numFmtId="170" fontId="13" fillId="0" borderId="7" xfId="3" applyNumberFormat="1" applyFont="1" applyFill="1" applyBorder="1" applyAlignment="1">
      <alignment horizontal="center" vertical="center"/>
    </xf>
    <xf numFmtId="10" fontId="0" fillId="0" borderId="0" xfId="0" applyNumberFormat="1"/>
    <xf numFmtId="0" fontId="0" fillId="0" borderId="14" xfId="0" applyBorder="1"/>
    <xf numFmtId="0" fontId="24" fillId="16" borderId="0" xfId="0" applyFont="1" applyFill="1" applyAlignment="1">
      <alignment horizontal="left"/>
    </xf>
    <xf numFmtId="10" fontId="0" fillId="17" borderId="0" xfId="0" applyNumberFormat="1" applyFill="1"/>
    <xf numFmtId="0" fontId="27" fillId="0" borderId="0" xfId="0" applyFont="1" applyAlignment="1">
      <alignment vertical="top" wrapText="1"/>
    </xf>
    <xf numFmtId="44" fontId="0" fillId="0" borderId="0" xfId="0" applyNumberFormat="1"/>
    <xf numFmtId="44" fontId="0" fillId="0" borderId="7" xfId="0" applyNumberFormat="1" applyBorder="1"/>
    <xf numFmtId="0" fontId="19" fillId="12" borderId="0" xfId="0" applyFont="1" applyFill="1" applyAlignment="1">
      <alignment vertical="center"/>
    </xf>
    <xf numFmtId="0" fontId="19" fillId="14" borderId="9" xfId="0" applyFont="1" applyFill="1" applyBorder="1" applyAlignment="1">
      <alignment vertical="center" wrapText="1"/>
    </xf>
    <xf numFmtId="2" fontId="19" fillId="14" borderId="9" xfId="0" applyNumberFormat="1" applyFont="1" applyFill="1" applyBorder="1" applyAlignment="1">
      <alignment vertical="center" wrapText="1"/>
    </xf>
    <xf numFmtId="0" fontId="41" fillId="5" borderId="20" xfId="0" applyFont="1" applyFill="1" applyBorder="1" applyAlignment="1">
      <alignment vertical="center"/>
    </xf>
    <xf numFmtId="0" fontId="19" fillId="27" borderId="0" xfId="0" applyFont="1" applyFill="1" applyAlignment="1">
      <alignment horizontal="left" vertical="center"/>
    </xf>
    <xf numFmtId="0" fontId="19" fillId="27" borderId="5" xfId="0" applyFont="1" applyFill="1" applyBorder="1" applyAlignment="1">
      <alignment horizontal="left" vertical="center"/>
    </xf>
    <xf numFmtId="0" fontId="7" fillId="0" borderId="0" xfId="1" applyFont="1"/>
    <xf numFmtId="0" fontId="3" fillId="0" borderId="0" xfId="0" applyFont="1"/>
    <xf numFmtId="0" fontId="3" fillId="0" borderId="0" xfId="0" applyFont="1" applyAlignment="1">
      <alignment vertical="center"/>
    </xf>
    <xf numFmtId="0" fontId="3" fillId="0" borderId="5" xfId="0" applyFont="1" applyBorder="1" applyAlignment="1">
      <alignment vertical="center"/>
    </xf>
    <xf numFmtId="0" fontId="2" fillId="4" borderId="0" xfId="0" applyFont="1" applyFill="1" applyAlignment="1">
      <alignment horizontal="center"/>
    </xf>
    <xf numFmtId="0" fontId="3" fillId="4" borderId="0" xfId="0" applyFont="1" applyFill="1" applyAlignment="1">
      <alignment horizontal="center"/>
    </xf>
    <xf numFmtId="0" fontId="3" fillId="0" borderId="7" xfId="0" applyFont="1" applyBorder="1" applyAlignment="1">
      <alignment vertical="center"/>
    </xf>
    <xf numFmtId="0" fontId="3" fillId="0" borderId="8" xfId="0" applyFont="1" applyBorder="1" applyAlignment="1">
      <alignment vertical="center"/>
    </xf>
    <xf numFmtId="0" fontId="3" fillId="0" borderId="2" xfId="0" applyFont="1" applyBorder="1" applyAlignment="1">
      <alignment vertical="center"/>
    </xf>
    <xf numFmtId="0" fontId="3" fillId="0" borderId="3" xfId="0" applyFont="1" applyBorder="1" applyAlignment="1">
      <alignment vertical="center"/>
    </xf>
    <xf numFmtId="0" fontId="8" fillId="5" borderId="0" xfId="0" applyFont="1" applyFill="1"/>
    <xf numFmtId="0" fontId="9" fillId="5" borderId="0" xfId="0" applyFont="1" applyFill="1"/>
    <xf numFmtId="0" fontId="5" fillId="2" borderId="0" xfId="0" applyFont="1" applyFill="1"/>
    <xf numFmtId="0" fontId="12" fillId="5" borderId="0" xfId="0" applyFont="1" applyFill="1" applyAlignment="1">
      <alignment horizontal="center" vertical="center"/>
    </xf>
    <xf numFmtId="0" fontId="12" fillId="5" borderId="11" xfId="0" applyFont="1" applyFill="1" applyBorder="1" applyAlignment="1">
      <alignment horizontal="center" vertical="center"/>
    </xf>
    <xf numFmtId="0" fontId="13" fillId="0" borderId="0" xfId="0" applyFont="1" applyAlignment="1">
      <alignment horizontal="left" vertical="center"/>
    </xf>
    <xf numFmtId="0" fontId="12" fillId="5" borderId="11" xfId="0" applyFont="1" applyFill="1" applyBorder="1" applyAlignment="1">
      <alignment horizontal="center" vertical="center" wrapText="1"/>
    </xf>
    <xf numFmtId="0" fontId="30" fillId="7" borderId="13" xfId="0" applyFont="1" applyFill="1" applyBorder="1" applyAlignment="1">
      <alignment horizontal="center" vertical="center" wrapText="1"/>
    </xf>
    <xf numFmtId="0" fontId="30" fillId="7" borderId="14" xfId="0" applyFont="1" applyFill="1" applyBorder="1" applyAlignment="1">
      <alignment horizontal="center" vertical="center" wrapText="1"/>
    </xf>
    <xf numFmtId="0" fontId="30" fillId="7" borderId="15" xfId="0" applyFont="1" applyFill="1" applyBorder="1" applyAlignment="1">
      <alignment horizontal="center" vertical="center" wrapText="1"/>
    </xf>
    <xf numFmtId="0" fontId="30" fillId="7" borderId="12" xfId="0" applyFont="1" applyFill="1" applyBorder="1" applyAlignment="1">
      <alignment horizontal="center" vertical="center" wrapText="1"/>
    </xf>
    <xf numFmtId="0" fontId="30" fillId="7" borderId="16" xfId="0" applyFont="1" applyFill="1" applyBorder="1" applyAlignment="1">
      <alignment horizontal="center" vertical="center" wrapText="1"/>
    </xf>
    <xf numFmtId="0" fontId="40" fillId="5" borderId="18" xfId="0" applyFont="1" applyFill="1" applyBorder="1" applyAlignment="1">
      <alignment horizontal="center" vertical="center"/>
    </xf>
    <xf numFmtId="0" fontId="40" fillId="5" borderId="19" xfId="0" applyFont="1" applyFill="1" applyBorder="1" applyAlignment="1">
      <alignment horizontal="center" vertical="center"/>
    </xf>
    <xf numFmtId="0" fontId="39" fillId="27" borderId="2" xfId="0" applyFont="1" applyFill="1" applyBorder="1" applyAlignment="1">
      <alignment horizontal="left" vertical="center" wrapText="1"/>
    </xf>
    <xf numFmtId="0" fontId="39" fillId="27" borderId="3" xfId="0" applyFont="1" applyFill="1" applyBorder="1" applyAlignment="1">
      <alignment horizontal="left" vertical="center" wrapText="1"/>
    </xf>
    <xf numFmtId="0" fontId="39" fillId="27" borderId="7" xfId="0" applyFont="1" applyFill="1" applyBorder="1" applyAlignment="1">
      <alignment horizontal="left" vertical="center" wrapText="1"/>
    </xf>
    <xf numFmtId="0" fontId="39" fillId="27" borderId="8" xfId="0" applyFont="1" applyFill="1" applyBorder="1" applyAlignment="1">
      <alignment horizontal="left" vertical="center" wrapText="1"/>
    </xf>
    <xf numFmtId="0" fontId="39" fillId="27" borderId="0" xfId="0" applyFont="1" applyFill="1" applyAlignment="1">
      <alignment horizontal="left" vertical="center" wrapText="1"/>
    </xf>
    <xf numFmtId="0" fontId="39" fillId="27" borderId="5" xfId="0" applyFont="1" applyFill="1" applyBorder="1" applyAlignment="1">
      <alignment horizontal="left" vertical="center" wrapText="1"/>
    </xf>
    <xf numFmtId="0" fontId="40" fillId="5" borderId="20" xfId="0" applyFont="1" applyFill="1" applyBorder="1" applyAlignment="1">
      <alignment horizontal="center" vertical="center"/>
    </xf>
    <xf numFmtId="0" fontId="39" fillId="12" borderId="2" xfId="0" applyFont="1" applyFill="1" applyBorder="1" applyAlignment="1">
      <alignment horizontal="left" vertical="center" wrapText="1"/>
    </xf>
    <xf numFmtId="0" fontId="39" fillId="12" borderId="3" xfId="0" applyFont="1" applyFill="1" applyBorder="1" applyAlignment="1">
      <alignment horizontal="left" vertical="center" wrapText="1"/>
    </xf>
    <xf numFmtId="0" fontId="39" fillId="12" borderId="0" xfId="0" applyFont="1" applyFill="1" applyAlignment="1">
      <alignment horizontal="left" vertical="center" wrapText="1"/>
    </xf>
    <xf numFmtId="0" fontId="39" fillId="12" borderId="5" xfId="0" applyFont="1" applyFill="1" applyBorder="1" applyAlignment="1">
      <alignment horizontal="left" vertical="center" wrapText="1"/>
    </xf>
    <xf numFmtId="0" fontId="39" fillId="12" borderId="7" xfId="0" applyFont="1" applyFill="1" applyBorder="1" applyAlignment="1">
      <alignment horizontal="left" vertical="center" wrapText="1"/>
    </xf>
    <xf numFmtId="0" fontId="39" fillId="12" borderId="8" xfId="0" applyFont="1" applyFill="1" applyBorder="1" applyAlignment="1">
      <alignment horizontal="left" vertical="center" wrapText="1"/>
    </xf>
    <xf numFmtId="0" fontId="40" fillId="5" borderId="18" xfId="0" applyFont="1" applyFill="1" applyBorder="1" applyAlignment="1">
      <alignment horizontal="left" vertical="center" wrapText="1"/>
    </xf>
    <xf numFmtId="0" fontId="40" fillId="5" borderId="20" xfId="0" applyFont="1" applyFill="1" applyBorder="1" applyAlignment="1">
      <alignment horizontal="left" vertical="center" wrapText="1"/>
    </xf>
    <xf numFmtId="0" fontId="40" fillId="5" borderId="19" xfId="0" applyFont="1" applyFill="1" applyBorder="1" applyAlignment="1">
      <alignment horizontal="left" vertical="center" wrapText="1"/>
    </xf>
    <xf numFmtId="0" fontId="40" fillId="5" borderId="20" xfId="0" applyFont="1" applyFill="1" applyBorder="1" applyAlignment="1">
      <alignment horizontal="left" vertical="center"/>
    </xf>
    <xf numFmtId="0" fontId="40" fillId="5" borderId="19" xfId="0" applyFont="1" applyFill="1" applyBorder="1" applyAlignment="1">
      <alignment horizontal="left" vertical="center"/>
    </xf>
    <xf numFmtId="0" fontId="40" fillId="5" borderId="18" xfId="0" applyFont="1" applyFill="1" applyBorder="1" applyAlignment="1">
      <alignment horizontal="left" vertical="center"/>
    </xf>
    <xf numFmtId="0" fontId="19" fillId="12" borderId="0" xfId="0" applyFont="1" applyFill="1" applyAlignment="1">
      <alignment horizontal="left" vertical="center" wrapText="1"/>
    </xf>
    <xf numFmtId="0" fontId="18" fillId="2" borderId="0" xfId="0" applyFont="1" applyFill="1" applyAlignment="1">
      <alignment horizontal="center" vertical="center"/>
    </xf>
    <xf numFmtId="0" fontId="19" fillId="0" borderId="0" xfId="0" applyFont="1" applyAlignment="1">
      <alignment horizontal="center" vertical="center"/>
    </xf>
    <xf numFmtId="0" fontId="12" fillId="23" borderId="0" xfId="0" applyFont="1" applyFill="1" applyAlignment="1">
      <alignment horizontal="center" vertical="center" wrapText="1"/>
    </xf>
    <xf numFmtId="0" fontId="12" fillId="23" borderId="7" xfId="0" applyFont="1" applyFill="1" applyBorder="1" applyAlignment="1">
      <alignment horizontal="center" vertical="center" wrapText="1"/>
    </xf>
    <xf numFmtId="0" fontId="28" fillId="15" borderId="2" xfId="0" applyFont="1" applyFill="1" applyBorder="1" applyAlignment="1">
      <alignment horizontal="center"/>
    </xf>
    <xf numFmtId="0" fontId="30" fillId="22" borderId="17" xfId="0" applyFont="1" applyFill="1" applyBorder="1" applyAlignment="1">
      <alignment horizontal="center" wrapText="1"/>
    </xf>
    <xf numFmtId="0" fontId="30" fillId="22" borderId="0" xfId="0" applyFont="1" applyFill="1" applyAlignment="1">
      <alignment horizontal="center" wrapText="1"/>
    </xf>
    <xf numFmtId="0" fontId="30" fillId="22" borderId="11" xfId="0" applyFont="1" applyFill="1" applyBorder="1" applyAlignment="1">
      <alignment horizontal="center" wrapText="1"/>
    </xf>
    <xf numFmtId="0" fontId="29" fillId="24" borderId="14" xfId="0" applyFont="1" applyFill="1" applyBorder="1" applyAlignment="1">
      <alignment horizontal="center"/>
    </xf>
    <xf numFmtId="0" fontId="29" fillId="24" borderId="14" xfId="0" applyFont="1" applyFill="1" applyBorder="1" applyAlignment="1">
      <alignment horizontal="center" wrapText="1"/>
    </xf>
    <xf numFmtId="0" fontId="12" fillId="23" borderId="17" xfId="0" applyFont="1" applyFill="1" applyBorder="1" applyAlignment="1">
      <alignment horizontal="center" vertical="center" wrapText="1"/>
    </xf>
  </cellXfs>
  <cellStyles count="4">
    <cellStyle name="Currency" xfId="3" builtinId="4"/>
    <cellStyle name="Hyperlink" xfId="1" builtinId="8"/>
    <cellStyle name="Normal" xfId="0" builtinId="0"/>
    <cellStyle name="Percent" xfId="2" builtinId="5"/>
  </cellStyles>
  <dxfs count="0"/>
  <tableStyles count="0" defaultTableStyle="TableStyleMedium9" defaultPivotStyle="PivotStyleLight16"/>
  <colors>
    <mruColors>
      <color rgb="FFFFFFCC"/>
      <color rgb="FF99FFCC"/>
      <color rgb="FFFFCCFF"/>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niftyindices.com/reports/historical-data" TargetMode="External"/><Relationship Id="rId2" Type="http://schemas.openxmlformats.org/officeDocument/2006/relationships/hyperlink" Target="https://www.gold.org/goldhub/data/gold-prices" TargetMode="External"/><Relationship Id="rId1" Type="http://schemas.openxmlformats.org/officeDocument/2006/relationships/hyperlink" Target="https://fred.stlouisfed.org/series/EXINUS" TargetMode="External"/><Relationship Id="rId6" Type="http://schemas.openxmlformats.org/officeDocument/2006/relationships/printerSettings" Target="../printerSettings/printerSettings1.bin"/><Relationship Id="rId5" Type="http://schemas.openxmlformats.org/officeDocument/2006/relationships/hyperlink" Target="https://esankhyiki.mospi.gov.in/catalogue-main/catalogue?product=CPI" TargetMode="External"/><Relationship Id="rId4" Type="http://schemas.openxmlformats.org/officeDocument/2006/relationships/hyperlink" Target="https://fred.stlouisfed.org/series/SP5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1"/>
  <sheetViews>
    <sheetView showGridLines="0" tabSelected="1" zoomScale="81" workbookViewId="0">
      <pane ySplit="3" topLeftCell="A7" activePane="bottomLeft" state="frozen"/>
      <selection pane="bottomLeft" activeCell="M9" sqref="M9"/>
    </sheetView>
  </sheetViews>
  <sheetFormatPr defaultRowHeight="13.8" x14ac:dyDescent="0.25"/>
  <cols>
    <col min="1" max="1" width="34.6640625" style="1" customWidth="1"/>
    <col min="2" max="2" width="27" style="1" customWidth="1"/>
    <col min="3" max="6" width="18" style="1" customWidth="1"/>
    <col min="7" max="16384" width="8.88671875" style="1"/>
  </cols>
  <sheetData>
    <row r="1" spans="1:6" ht="22.8" x14ac:dyDescent="0.4">
      <c r="A1" s="106" t="s">
        <v>0</v>
      </c>
      <c r="B1" s="107"/>
      <c r="C1" s="107"/>
      <c r="D1" s="107"/>
      <c r="E1" s="107"/>
      <c r="F1" s="107"/>
    </row>
    <row r="2" spans="1:6" ht="15" x14ac:dyDescent="0.25">
      <c r="A2" s="112" t="s">
        <v>1</v>
      </c>
      <c r="B2" s="113"/>
      <c r="C2" s="113"/>
      <c r="D2" s="113"/>
      <c r="E2" s="113"/>
      <c r="F2" s="113"/>
    </row>
    <row r="3" spans="1:6" ht="14.4" thickBot="1" x14ac:dyDescent="0.3"/>
    <row r="4" spans="1:6" ht="28.05" customHeight="1" x14ac:dyDescent="0.25">
      <c r="A4" s="16" t="s">
        <v>2</v>
      </c>
      <c r="B4" s="110" t="s">
        <v>3</v>
      </c>
      <c r="C4" s="110"/>
      <c r="D4" s="110"/>
      <c r="E4" s="110"/>
      <c r="F4" s="111"/>
    </row>
    <row r="5" spans="1:6" ht="28.05" customHeight="1" x14ac:dyDescent="0.25">
      <c r="A5" s="17" t="s">
        <v>4</v>
      </c>
      <c r="B5" s="104" t="s">
        <v>5</v>
      </c>
      <c r="C5" s="104"/>
      <c r="D5" s="104"/>
      <c r="E5" s="104"/>
      <c r="F5" s="105"/>
    </row>
    <row r="6" spans="1:6" ht="37.950000000000003" customHeight="1" x14ac:dyDescent="0.25">
      <c r="A6" s="17" t="s">
        <v>6</v>
      </c>
      <c r="B6" s="104" t="s">
        <v>7</v>
      </c>
      <c r="C6" s="104"/>
      <c r="D6" s="104"/>
      <c r="E6" s="104"/>
      <c r="F6" s="105"/>
    </row>
    <row r="7" spans="1:6" ht="28.05" customHeight="1" x14ac:dyDescent="0.25">
      <c r="A7" s="17" t="s">
        <v>8</v>
      </c>
      <c r="B7" s="104" t="s">
        <v>9</v>
      </c>
      <c r="C7" s="104"/>
      <c r="D7" s="104"/>
      <c r="E7" s="104"/>
      <c r="F7" s="105"/>
    </row>
    <row r="8" spans="1:6" ht="28.05" customHeight="1" x14ac:dyDescent="0.25">
      <c r="A8" s="17" t="s">
        <v>10</v>
      </c>
      <c r="B8" s="104" t="s">
        <v>11</v>
      </c>
      <c r="C8" s="104"/>
      <c r="D8" s="104"/>
      <c r="E8" s="104"/>
      <c r="F8" s="105"/>
    </row>
    <row r="9" spans="1:6" ht="37.950000000000003" customHeight="1" x14ac:dyDescent="0.25">
      <c r="A9" s="17" t="s">
        <v>12</v>
      </c>
      <c r="B9" s="104" t="s">
        <v>13</v>
      </c>
      <c r="C9" s="104"/>
      <c r="D9" s="104"/>
      <c r="E9" s="104"/>
      <c r="F9" s="105"/>
    </row>
    <row r="10" spans="1:6" ht="28.05" customHeight="1" x14ac:dyDescent="0.25">
      <c r="A10" s="17" t="s">
        <v>14</v>
      </c>
      <c r="B10" s="104" t="s">
        <v>15</v>
      </c>
      <c r="C10" s="104"/>
      <c r="D10" s="104"/>
      <c r="E10" s="104"/>
      <c r="F10" s="105"/>
    </row>
    <row r="11" spans="1:6" ht="37.950000000000003" customHeight="1" x14ac:dyDescent="0.25">
      <c r="A11" s="17" t="s">
        <v>16</v>
      </c>
      <c r="B11" s="104" t="s">
        <v>17</v>
      </c>
      <c r="C11" s="104"/>
      <c r="D11" s="104"/>
      <c r="E11" s="104"/>
      <c r="F11" s="105"/>
    </row>
    <row r="12" spans="1:6" ht="37.950000000000003" customHeight="1" x14ac:dyDescent="0.25">
      <c r="A12" s="17" t="s">
        <v>18</v>
      </c>
      <c r="B12" s="104" t="s">
        <v>19</v>
      </c>
      <c r="C12" s="104"/>
      <c r="D12" s="104"/>
      <c r="E12" s="104"/>
      <c r="F12" s="105"/>
    </row>
    <row r="13" spans="1:6" ht="37.950000000000003" customHeight="1" thickBot="1" x14ac:dyDescent="0.3">
      <c r="A13" s="18" t="s">
        <v>20</v>
      </c>
      <c r="B13" s="108" t="s">
        <v>21</v>
      </c>
      <c r="C13" s="108"/>
      <c r="D13" s="108"/>
      <c r="E13" s="108"/>
      <c r="F13" s="109"/>
    </row>
    <row r="16" spans="1:6" ht="15" x14ac:dyDescent="0.25">
      <c r="A16" s="114" t="s">
        <v>22</v>
      </c>
      <c r="B16" s="103"/>
      <c r="C16" s="103"/>
      <c r="D16" s="103"/>
      <c r="E16" s="103"/>
      <c r="F16" s="103"/>
    </row>
    <row r="17" spans="1:6" ht="15" x14ac:dyDescent="0.25">
      <c r="A17" s="2" t="s">
        <v>23</v>
      </c>
      <c r="B17" s="102" t="s">
        <v>24</v>
      </c>
      <c r="C17" s="103"/>
      <c r="D17" s="103"/>
      <c r="E17" s="103"/>
      <c r="F17" s="103"/>
    </row>
    <row r="18" spans="1:6" ht="15" x14ac:dyDescent="0.25">
      <c r="A18" s="2" t="s">
        <v>25</v>
      </c>
      <c r="B18" s="102" t="s">
        <v>26</v>
      </c>
      <c r="C18" s="103"/>
      <c r="D18" s="103"/>
      <c r="E18" s="103"/>
      <c r="F18" s="103"/>
    </row>
    <row r="19" spans="1:6" ht="15" x14ac:dyDescent="0.25">
      <c r="A19" s="2" t="s">
        <v>27</v>
      </c>
      <c r="B19" s="102" t="s">
        <v>28</v>
      </c>
      <c r="C19" s="103"/>
      <c r="D19" s="103"/>
      <c r="E19" s="103"/>
      <c r="F19" s="103"/>
    </row>
    <row r="20" spans="1:6" ht="15" x14ac:dyDescent="0.25">
      <c r="A20" s="2" t="s">
        <v>29</v>
      </c>
      <c r="B20" s="102" t="s">
        <v>30</v>
      </c>
      <c r="C20" s="103"/>
      <c r="D20" s="103"/>
      <c r="E20" s="103"/>
      <c r="F20" s="103"/>
    </row>
    <row r="21" spans="1:6" ht="15" x14ac:dyDescent="0.25">
      <c r="A21" s="2" t="s">
        <v>31</v>
      </c>
      <c r="B21" s="102" t="s">
        <v>32</v>
      </c>
      <c r="C21" s="103"/>
      <c r="D21" s="103"/>
      <c r="E21" s="103"/>
      <c r="F21" s="103"/>
    </row>
  </sheetData>
  <mergeCells count="18">
    <mergeCell ref="B12:F12"/>
    <mergeCell ref="B7:F7"/>
    <mergeCell ref="B21:F21"/>
    <mergeCell ref="B6:F6"/>
    <mergeCell ref="B20:F20"/>
    <mergeCell ref="B10:F10"/>
    <mergeCell ref="A1:F1"/>
    <mergeCell ref="B11:F11"/>
    <mergeCell ref="B18:F18"/>
    <mergeCell ref="B5:F5"/>
    <mergeCell ref="B19:F19"/>
    <mergeCell ref="B8:F8"/>
    <mergeCell ref="B17:F17"/>
    <mergeCell ref="B9:F9"/>
    <mergeCell ref="B13:F13"/>
    <mergeCell ref="B4:F4"/>
    <mergeCell ref="A2:F2"/>
    <mergeCell ref="A16:F16"/>
  </mergeCells>
  <hyperlinks>
    <hyperlink ref="B17" r:id="rId1" xr:uid="{00000000-0004-0000-0000-000000000000}"/>
    <hyperlink ref="B18" r:id="rId2" xr:uid="{00000000-0004-0000-0000-000001000000}"/>
    <hyperlink ref="B19" r:id="rId3" xr:uid="{00000000-0004-0000-0000-000002000000}"/>
    <hyperlink ref="B20" r:id="rId4" xr:uid="{00000000-0004-0000-0000-000003000000}"/>
    <hyperlink ref="B21" r:id="rId5" xr:uid="{00000000-0004-0000-0000-000004000000}"/>
  </hyperlinks>
  <pageMargins left="0.75" right="0.75" top="1" bottom="1" header="0.5" footer="0.5"/>
  <pageSetup orientation="portrait"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46BA4-BD5C-4B05-8329-0B40F6B5FAD6}">
  <dimension ref="A1:BJ2646"/>
  <sheetViews>
    <sheetView showGridLines="0" zoomScale="78" zoomScaleNormal="142" workbookViewId="0">
      <selection activeCell="BL2" sqref="BL2"/>
    </sheetView>
  </sheetViews>
  <sheetFormatPr defaultRowHeight="15" x14ac:dyDescent="0.25"/>
  <cols>
    <col min="1" max="1" width="12.88671875" style="46" bestFit="1" customWidth="1"/>
    <col min="2" max="5" width="11.109375" style="46" bestFit="1" customWidth="1"/>
    <col min="6" max="6" width="8.88671875" style="46"/>
    <col min="7" max="7" width="13.88671875" style="46" bestFit="1" customWidth="1"/>
    <col min="8" max="8" width="8.88671875" style="46"/>
    <col min="9" max="9" width="12.88671875" style="46" bestFit="1" customWidth="1"/>
    <col min="10" max="13" width="11.109375" style="46" bestFit="1" customWidth="1"/>
    <col min="14" max="14" width="8.88671875" style="46"/>
    <col min="15" max="15" width="9.5546875" style="46" bestFit="1" customWidth="1"/>
    <col min="16" max="16" width="8.88671875" style="46"/>
    <col min="17" max="17" width="12.88671875" style="46" bestFit="1" customWidth="1"/>
    <col min="18" max="21" width="9.77734375" style="46" bestFit="1" customWidth="1"/>
    <col min="22" max="22" width="8.88671875" style="46"/>
    <col min="23" max="23" width="9.5546875" style="46" bestFit="1" customWidth="1"/>
    <col min="24" max="25" width="8.88671875" style="46"/>
    <col min="26" max="26" width="12.88671875" style="46" bestFit="1" customWidth="1"/>
    <col min="27" max="27" width="18.21875" style="46" customWidth="1"/>
    <col min="28" max="30" width="9.77734375" style="46" bestFit="1" customWidth="1"/>
    <col min="31" max="31" width="8.88671875" style="46"/>
    <col min="32" max="32" width="9.5546875" style="46" bestFit="1" customWidth="1"/>
    <col min="33" max="33" width="18.5546875" style="46" customWidth="1"/>
    <col min="34" max="34" width="12.88671875" style="46" bestFit="1" customWidth="1"/>
    <col min="35" max="35" width="10.5546875" style="46" bestFit="1" customWidth="1"/>
    <col min="36" max="38" width="9.109375" style="46" bestFit="1" customWidth="1"/>
    <col min="39" max="39" width="8.88671875" style="46"/>
    <col min="40" max="40" width="9.5546875" style="46" bestFit="1" customWidth="1"/>
    <col min="41" max="42" width="8.88671875" style="46"/>
    <col min="43" max="43" width="10.5546875" style="46" bestFit="1" customWidth="1"/>
    <col min="44" max="45" width="9.109375" style="46" bestFit="1" customWidth="1"/>
    <col min="46" max="46" width="13.33203125" style="46" customWidth="1"/>
    <col min="47" max="49" width="9.109375" style="46" bestFit="1" customWidth="1"/>
    <col min="50" max="50" width="8.88671875" style="46"/>
    <col min="51" max="51" width="11.109375" style="46" bestFit="1" customWidth="1"/>
    <col min="52" max="52" width="9.109375" style="46" bestFit="1" customWidth="1"/>
    <col min="53" max="53" width="12.21875" style="46" customWidth="1"/>
    <col min="54" max="54" width="11.77734375" style="46" bestFit="1" customWidth="1"/>
    <col min="55" max="55" width="14.21875" style="46" bestFit="1" customWidth="1"/>
    <col min="56" max="56" width="17.88671875" style="46" customWidth="1"/>
    <col min="57" max="57" width="9.21875" style="46" bestFit="1" customWidth="1"/>
    <col min="58" max="59" width="9.109375" style="46" bestFit="1" customWidth="1"/>
    <col min="60" max="60" width="8.88671875" style="46"/>
    <col min="61" max="61" width="19.6640625" style="46" bestFit="1" customWidth="1"/>
    <col min="62" max="62" width="9.5546875" style="46" bestFit="1" customWidth="1"/>
    <col min="63" max="16384" width="8.88671875" style="46"/>
  </cols>
  <sheetData>
    <row r="1" spans="1:62" s="57" customFormat="1" ht="60" x14ac:dyDescent="0.3">
      <c r="A1" s="115" t="s">
        <v>2794</v>
      </c>
      <c r="B1" s="115"/>
      <c r="C1" s="115"/>
      <c r="D1" s="115"/>
      <c r="E1" s="115"/>
      <c r="F1" s="115"/>
      <c r="G1" s="115"/>
      <c r="H1" s="115" t="s">
        <v>2795</v>
      </c>
      <c r="I1" s="115"/>
      <c r="J1" s="115"/>
      <c r="K1" s="115"/>
      <c r="L1" s="115"/>
      <c r="M1" s="115"/>
      <c r="N1" s="115"/>
      <c r="O1" s="115"/>
      <c r="P1" s="115" t="s">
        <v>2796</v>
      </c>
      <c r="Q1" s="115"/>
      <c r="R1" s="115"/>
      <c r="S1" s="115"/>
      <c r="T1" s="115"/>
      <c r="U1" s="115"/>
      <c r="V1" s="115"/>
      <c r="W1" s="115"/>
      <c r="X1" s="115" t="s">
        <v>2806</v>
      </c>
      <c r="Y1" s="115"/>
      <c r="Z1" s="115"/>
      <c r="AA1" s="115"/>
      <c r="AB1" s="115"/>
      <c r="AC1" s="115"/>
      <c r="AD1" s="115"/>
      <c r="AE1" s="115"/>
      <c r="AF1" s="115"/>
      <c r="AG1" s="115" t="s">
        <v>2807</v>
      </c>
      <c r="AH1" s="115"/>
      <c r="AI1" s="115"/>
      <c r="AJ1" s="115"/>
      <c r="AK1" s="115"/>
      <c r="AL1" s="115"/>
      <c r="AM1" s="115"/>
      <c r="AN1" s="115"/>
      <c r="AO1" s="115" t="s">
        <v>2808</v>
      </c>
      <c r="AP1" s="115"/>
      <c r="AQ1" s="115"/>
      <c r="AR1" s="115"/>
      <c r="AS1" s="115"/>
      <c r="AT1" s="115"/>
      <c r="AU1" s="115"/>
      <c r="AV1" s="115"/>
      <c r="AW1" s="115"/>
      <c r="AY1" s="58" t="s">
        <v>100</v>
      </c>
      <c r="AZ1" s="58" t="s">
        <v>2833</v>
      </c>
      <c r="BA1" s="58" t="s">
        <v>33</v>
      </c>
      <c r="BB1" s="58" t="s">
        <v>2834</v>
      </c>
      <c r="BC1" s="58" t="s">
        <v>2835</v>
      </c>
      <c r="BD1" s="58" t="s">
        <v>2836</v>
      </c>
      <c r="BE1" s="58" t="s">
        <v>2837</v>
      </c>
      <c r="BF1" s="58" t="s">
        <v>2838</v>
      </c>
      <c r="BG1" s="58" t="s">
        <v>2839</v>
      </c>
      <c r="BI1" s="58" t="s">
        <v>98</v>
      </c>
      <c r="BJ1" s="58" t="s">
        <v>99</v>
      </c>
    </row>
    <row r="2" spans="1:62" ht="15" customHeight="1" x14ac:dyDescent="0.25">
      <c r="A2" s="116"/>
      <c r="B2" s="116"/>
      <c r="C2" s="116"/>
      <c r="D2" s="116"/>
      <c r="E2" s="116"/>
      <c r="F2" s="116"/>
      <c r="G2" s="116"/>
      <c r="H2" s="116"/>
      <c r="I2" s="116"/>
      <c r="J2" s="116"/>
      <c r="K2" s="116"/>
      <c r="L2" s="116"/>
      <c r="M2" s="116"/>
      <c r="N2" s="116"/>
      <c r="O2" s="116"/>
      <c r="P2" s="116"/>
      <c r="Q2" s="116"/>
      <c r="R2" s="116"/>
      <c r="S2" s="116"/>
      <c r="T2" s="116"/>
      <c r="U2" s="116"/>
      <c r="V2" s="116"/>
      <c r="W2" s="116"/>
      <c r="X2" s="115"/>
      <c r="Y2" s="115"/>
      <c r="Z2" s="115"/>
      <c r="AA2" s="115"/>
      <c r="AB2" s="115"/>
      <c r="AC2" s="115"/>
      <c r="AD2" s="115"/>
      <c r="AE2" s="115"/>
      <c r="AF2" s="115"/>
      <c r="AG2" s="115"/>
      <c r="AH2" s="115"/>
      <c r="AI2" s="115"/>
      <c r="AJ2" s="115"/>
      <c r="AK2" s="115"/>
      <c r="AL2" s="115"/>
      <c r="AM2" s="115"/>
      <c r="AN2" s="115"/>
      <c r="AO2" s="59"/>
      <c r="AP2" s="59"/>
      <c r="AQ2" s="118" t="s">
        <v>2809</v>
      </c>
      <c r="AR2" s="118"/>
      <c r="AS2" s="118"/>
      <c r="AT2" s="118"/>
      <c r="AU2" s="118"/>
      <c r="AV2" s="118"/>
      <c r="AW2" s="118"/>
      <c r="AY2" s="60">
        <v>42370</v>
      </c>
      <c r="AZ2" s="61">
        <v>2016</v>
      </c>
      <c r="BA2" s="61">
        <v>1</v>
      </c>
      <c r="BB2" s="62">
        <v>66.5</v>
      </c>
      <c r="BC2" s="61">
        <v>66.900000000000006</v>
      </c>
      <c r="BD2" s="61">
        <v>66.099999999999994</v>
      </c>
      <c r="BE2" s="62">
        <v>5.69</v>
      </c>
      <c r="BF2" s="62">
        <v>6.48</v>
      </c>
      <c r="BG2" s="62">
        <v>4.8099999999999996</v>
      </c>
      <c r="BI2" s="3">
        <v>42370</v>
      </c>
      <c r="BJ2" s="4">
        <v>67.333200000000005</v>
      </c>
    </row>
    <row r="3" spans="1:62" ht="28.8" customHeight="1" x14ac:dyDescent="0.25">
      <c r="A3" s="63" t="s">
        <v>100</v>
      </c>
      <c r="B3" s="63" t="s">
        <v>101</v>
      </c>
      <c r="C3" s="63" t="s">
        <v>102</v>
      </c>
      <c r="D3" s="63" t="s">
        <v>103</v>
      </c>
      <c r="E3" s="63" t="s">
        <v>104</v>
      </c>
      <c r="F3" s="63" t="s">
        <v>105</v>
      </c>
      <c r="G3" s="63" t="s">
        <v>106</v>
      </c>
      <c r="H3" s="64"/>
      <c r="I3" s="63" t="s">
        <v>100</v>
      </c>
      <c r="J3" s="63" t="s">
        <v>101</v>
      </c>
      <c r="K3" s="63" t="s">
        <v>102</v>
      </c>
      <c r="L3" s="63" t="s">
        <v>103</v>
      </c>
      <c r="M3" s="63" t="s">
        <v>104</v>
      </c>
      <c r="N3" s="63" t="s">
        <v>105</v>
      </c>
      <c r="O3" s="63" t="s">
        <v>106</v>
      </c>
      <c r="P3" s="64"/>
      <c r="Q3" s="63" t="s">
        <v>100</v>
      </c>
      <c r="R3" s="63" t="s">
        <v>101</v>
      </c>
      <c r="S3" s="63" t="s">
        <v>102</v>
      </c>
      <c r="T3" s="63" t="s">
        <v>103</v>
      </c>
      <c r="U3" s="63" t="s">
        <v>104</v>
      </c>
      <c r="V3" s="63" t="s">
        <v>105</v>
      </c>
      <c r="W3" s="63" t="s">
        <v>106</v>
      </c>
      <c r="X3" s="64"/>
      <c r="Y3" s="64"/>
      <c r="Z3" s="63" t="s">
        <v>100</v>
      </c>
      <c r="AA3" s="63" t="s">
        <v>101</v>
      </c>
      <c r="AB3" s="63" t="s">
        <v>102</v>
      </c>
      <c r="AC3" s="63" t="s">
        <v>103</v>
      </c>
      <c r="AD3" s="63" t="s">
        <v>104</v>
      </c>
      <c r="AE3" s="63" t="s">
        <v>105</v>
      </c>
      <c r="AF3" s="63" t="s">
        <v>106</v>
      </c>
      <c r="AG3" s="64"/>
      <c r="AH3" s="63" t="s">
        <v>100</v>
      </c>
      <c r="AI3" s="63" t="s">
        <v>101</v>
      </c>
      <c r="AJ3" s="63" t="s">
        <v>102</v>
      </c>
      <c r="AK3" s="63" t="s">
        <v>103</v>
      </c>
      <c r="AL3" s="63" t="s">
        <v>104</v>
      </c>
      <c r="AM3" s="63" t="s">
        <v>105</v>
      </c>
      <c r="AN3" s="63" t="s">
        <v>106</v>
      </c>
      <c r="AQ3" s="122" t="s">
        <v>33</v>
      </c>
      <c r="AR3" s="119" t="s">
        <v>2797</v>
      </c>
      <c r="AS3" s="120"/>
      <c r="AT3" s="121"/>
      <c r="AU3" s="119" t="s">
        <v>2810</v>
      </c>
      <c r="AV3" s="120"/>
      <c r="AW3" s="121"/>
      <c r="AY3" s="60">
        <v>42401</v>
      </c>
      <c r="AZ3" s="61">
        <v>2016</v>
      </c>
      <c r="BA3" s="61">
        <v>2</v>
      </c>
      <c r="BB3" s="62">
        <v>66.400000000000006</v>
      </c>
      <c r="BC3" s="61">
        <v>66.8</v>
      </c>
      <c r="BD3" s="61">
        <v>65.900000000000006</v>
      </c>
      <c r="BE3" s="62">
        <v>5.26</v>
      </c>
      <c r="BF3" s="62">
        <v>6.05</v>
      </c>
      <c r="BG3" s="62">
        <v>4.3</v>
      </c>
      <c r="BI3" s="3">
        <v>42401</v>
      </c>
      <c r="BJ3" s="4">
        <v>68.239500000000007</v>
      </c>
    </row>
    <row r="4" spans="1:62" ht="30.6" thickBot="1" x14ac:dyDescent="0.3">
      <c r="A4" s="65">
        <v>42370</v>
      </c>
      <c r="B4" s="66">
        <v>7963.2</v>
      </c>
      <c r="C4" s="66">
        <v>7938.45</v>
      </c>
      <c r="D4" s="66">
        <v>7972.55</v>
      </c>
      <c r="E4" s="66">
        <v>7909.8</v>
      </c>
      <c r="F4" s="67" t="s">
        <v>2675</v>
      </c>
      <c r="G4" s="68">
        <v>2.0999999999999999E-3</v>
      </c>
      <c r="H4" s="64"/>
      <c r="I4" s="69">
        <v>42370</v>
      </c>
      <c r="J4" s="70">
        <v>7563.55</v>
      </c>
      <c r="K4" s="70">
        <v>7938.45</v>
      </c>
      <c r="L4" s="70">
        <v>7972.55</v>
      </c>
      <c r="M4" s="70">
        <v>7241.5</v>
      </c>
      <c r="N4" s="61" t="s">
        <v>2793</v>
      </c>
      <c r="O4" s="71">
        <v>-4.82E-2</v>
      </c>
      <c r="P4" s="64"/>
      <c r="Q4" s="69">
        <v>42370</v>
      </c>
      <c r="R4" s="70">
        <v>1940.24</v>
      </c>
      <c r="S4" s="70">
        <v>2038.2</v>
      </c>
      <c r="T4" s="70">
        <v>2038.2</v>
      </c>
      <c r="U4" s="70">
        <v>1812.29</v>
      </c>
      <c r="V4" s="61"/>
      <c r="W4" s="71">
        <v>-5.0700000000000002E-2</v>
      </c>
      <c r="X4" s="64"/>
      <c r="Y4" s="64"/>
      <c r="Z4" s="69">
        <v>42370</v>
      </c>
      <c r="AA4" s="72">
        <v>75852</v>
      </c>
      <c r="AB4" s="72">
        <v>70238</v>
      </c>
      <c r="AC4" s="72">
        <v>76914</v>
      </c>
      <c r="AD4" s="72">
        <v>70141</v>
      </c>
      <c r="AE4" s="61"/>
      <c r="AF4" s="71">
        <v>8.0699999999999994E-2</v>
      </c>
      <c r="AG4" s="64"/>
      <c r="AH4" s="69">
        <v>42370</v>
      </c>
      <c r="AI4" s="72">
        <v>1117.6400000000001</v>
      </c>
      <c r="AJ4" s="72">
        <v>1061.0899999999999</v>
      </c>
      <c r="AK4" s="72">
        <v>1128.3</v>
      </c>
      <c r="AL4" s="72">
        <v>1060.74</v>
      </c>
      <c r="AM4" s="61"/>
      <c r="AN4" s="71">
        <v>5.3499999999999999E-2</v>
      </c>
      <c r="AQ4" s="123"/>
      <c r="AR4" s="73" t="s">
        <v>2798</v>
      </c>
      <c r="AS4" s="73" t="s">
        <v>2799</v>
      </c>
      <c r="AT4" s="73" t="s">
        <v>2811</v>
      </c>
      <c r="AU4" s="74" t="s">
        <v>2798</v>
      </c>
      <c r="AV4" s="74" t="s">
        <v>2799</v>
      </c>
      <c r="AW4" s="74" t="s">
        <v>2811</v>
      </c>
      <c r="AY4" s="60">
        <v>42430</v>
      </c>
      <c r="AZ4" s="61">
        <v>2016</v>
      </c>
      <c r="BA4" s="61">
        <v>3</v>
      </c>
      <c r="BB4" s="62">
        <v>66.400000000000006</v>
      </c>
      <c r="BC4" s="61">
        <v>66.8</v>
      </c>
      <c r="BD4" s="61">
        <v>65.900000000000006</v>
      </c>
      <c r="BE4" s="62">
        <v>4.83</v>
      </c>
      <c r="BF4" s="62">
        <v>5.7</v>
      </c>
      <c r="BG4" s="62">
        <v>3.95</v>
      </c>
      <c r="BI4" s="3">
        <v>42430</v>
      </c>
      <c r="BJ4" s="4">
        <v>66.890900000000002</v>
      </c>
    </row>
    <row r="5" spans="1:62" ht="15.6" thickBot="1" x14ac:dyDescent="0.3">
      <c r="A5" s="65">
        <v>42373</v>
      </c>
      <c r="B5" s="66">
        <v>7791.3</v>
      </c>
      <c r="C5" s="66">
        <v>7924.55</v>
      </c>
      <c r="D5" s="66">
        <v>7937.55</v>
      </c>
      <c r="E5" s="66">
        <v>7781.1</v>
      </c>
      <c r="F5" s="67" t="s">
        <v>2674</v>
      </c>
      <c r="G5" s="68">
        <v>-2.1600000000000001E-2</v>
      </c>
      <c r="H5" s="64"/>
      <c r="I5" s="69">
        <v>42371</v>
      </c>
      <c r="J5" s="70">
        <v>6987.05</v>
      </c>
      <c r="K5" s="70">
        <v>7589.5</v>
      </c>
      <c r="L5" s="70">
        <v>7600.45</v>
      </c>
      <c r="M5" s="70">
        <v>6825.8</v>
      </c>
      <c r="N5" s="61" t="s">
        <v>2792</v>
      </c>
      <c r="O5" s="71">
        <v>-7.6200000000000004E-2</v>
      </c>
      <c r="P5" s="64"/>
      <c r="Q5" s="69">
        <v>42371</v>
      </c>
      <c r="R5" s="70">
        <v>1932.23</v>
      </c>
      <c r="S5" s="70">
        <v>1936.94</v>
      </c>
      <c r="T5" s="70">
        <v>1962.96</v>
      </c>
      <c r="U5" s="70">
        <v>1810.1</v>
      </c>
      <c r="V5" s="61"/>
      <c r="W5" s="71">
        <v>-4.1000000000000003E-3</v>
      </c>
      <c r="X5" s="64"/>
      <c r="Y5" s="64"/>
      <c r="Z5" s="69">
        <v>42371</v>
      </c>
      <c r="AA5" s="72">
        <v>84450</v>
      </c>
      <c r="AB5" s="72">
        <v>75890</v>
      </c>
      <c r="AC5" s="72">
        <v>86284</v>
      </c>
      <c r="AD5" s="72">
        <v>75782</v>
      </c>
      <c r="AE5" s="61"/>
      <c r="AF5" s="71">
        <v>0.1134</v>
      </c>
      <c r="AG5" s="64"/>
      <c r="AH5" s="69">
        <v>42371</v>
      </c>
      <c r="AI5" s="72">
        <v>1237.76</v>
      </c>
      <c r="AJ5" s="72">
        <v>1117.8499999999999</v>
      </c>
      <c r="AK5" s="72">
        <v>1261.17</v>
      </c>
      <c r="AL5" s="72">
        <v>1116.24</v>
      </c>
      <c r="AM5" s="61"/>
      <c r="AN5" s="71">
        <v>0.1075</v>
      </c>
      <c r="AQ5" s="75" t="s">
        <v>2812</v>
      </c>
      <c r="AR5" s="76" t="s">
        <v>2800</v>
      </c>
      <c r="AS5" s="76" t="s">
        <v>2801</v>
      </c>
      <c r="AT5" s="76" t="s">
        <v>2802</v>
      </c>
      <c r="AU5" s="76" t="s">
        <v>2803</v>
      </c>
      <c r="AV5" s="76" t="s">
        <v>2804</v>
      </c>
      <c r="AW5" s="76" t="s">
        <v>2805</v>
      </c>
      <c r="AY5" s="60">
        <v>42461</v>
      </c>
      <c r="AZ5" s="61">
        <v>2016</v>
      </c>
      <c r="BA5" s="61">
        <v>4</v>
      </c>
      <c r="BB5" s="62">
        <v>67</v>
      </c>
      <c r="BC5" s="61">
        <v>67.400000000000006</v>
      </c>
      <c r="BD5" s="61">
        <v>66.7</v>
      </c>
      <c r="BE5" s="62">
        <v>5.47</v>
      </c>
      <c r="BF5" s="62">
        <v>6.17</v>
      </c>
      <c r="BG5" s="62">
        <v>4.68</v>
      </c>
      <c r="BI5" s="3">
        <v>42461</v>
      </c>
      <c r="BJ5" s="4">
        <v>66.421899999999994</v>
      </c>
    </row>
    <row r="6" spans="1:62" x14ac:dyDescent="0.25">
      <c r="A6" s="65">
        <v>42374</v>
      </c>
      <c r="B6" s="66">
        <v>7784.65</v>
      </c>
      <c r="C6" s="66">
        <v>7828.4</v>
      </c>
      <c r="D6" s="66">
        <v>7831.2</v>
      </c>
      <c r="E6" s="66">
        <v>7763.25</v>
      </c>
      <c r="F6" s="67" t="s">
        <v>2673</v>
      </c>
      <c r="G6" s="68">
        <v>-8.9999999999999998E-4</v>
      </c>
      <c r="H6" s="64"/>
      <c r="I6" s="69">
        <v>42372</v>
      </c>
      <c r="J6" s="70">
        <v>7738.4</v>
      </c>
      <c r="K6" s="70">
        <v>7038.25</v>
      </c>
      <c r="L6" s="70">
        <v>7777.6</v>
      </c>
      <c r="M6" s="70">
        <v>7035.1</v>
      </c>
      <c r="N6" s="61" t="s">
        <v>2791</v>
      </c>
      <c r="O6" s="71">
        <v>0.1075</v>
      </c>
      <c r="P6" s="64"/>
      <c r="Q6" s="69">
        <v>42372</v>
      </c>
      <c r="R6" s="70">
        <v>2059.7399999999998</v>
      </c>
      <c r="S6" s="70">
        <v>1937.09</v>
      </c>
      <c r="T6" s="70">
        <v>2072.21</v>
      </c>
      <c r="U6" s="70">
        <v>1937.09</v>
      </c>
      <c r="V6" s="61"/>
      <c r="W6" s="71">
        <v>6.6000000000000003E-2</v>
      </c>
      <c r="X6" s="64"/>
      <c r="Y6" s="64"/>
      <c r="Z6" s="69">
        <v>42372</v>
      </c>
      <c r="AA6" s="72">
        <v>81617</v>
      </c>
      <c r="AB6" s="72">
        <v>84490</v>
      </c>
      <c r="AC6" s="72">
        <v>86367</v>
      </c>
      <c r="AD6" s="72">
        <v>80843</v>
      </c>
      <c r="AE6" s="61"/>
      <c r="AF6" s="71">
        <v>-3.3500000000000002E-2</v>
      </c>
      <c r="AG6" s="64"/>
      <c r="AH6" s="69">
        <v>42372</v>
      </c>
      <c r="AI6" s="72">
        <v>1231.95</v>
      </c>
      <c r="AJ6" s="72">
        <v>1238.19</v>
      </c>
      <c r="AK6" s="72">
        <v>1282.9000000000001</v>
      </c>
      <c r="AL6" s="72">
        <v>1208.55</v>
      </c>
      <c r="AM6" s="61"/>
      <c r="AN6" s="71">
        <v>-4.7000000000000002E-3</v>
      </c>
      <c r="AQ6" s="77" t="s">
        <v>2813</v>
      </c>
      <c r="AR6" s="78">
        <v>101.81</v>
      </c>
      <c r="AS6" s="78">
        <v>101.49</v>
      </c>
      <c r="AT6" s="78">
        <v>101.67</v>
      </c>
      <c r="AU6" s="79"/>
      <c r="AV6" s="79"/>
      <c r="AW6" s="79"/>
      <c r="AY6" s="60">
        <v>42491</v>
      </c>
      <c r="AZ6" s="61">
        <v>2016</v>
      </c>
      <c r="BA6" s="61">
        <v>5</v>
      </c>
      <c r="BB6" s="62">
        <v>67.7</v>
      </c>
      <c r="BC6" s="61">
        <v>68</v>
      </c>
      <c r="BD6" s="61">
        <v>67.400000000000006</v>
      </c>
      <c r="BE6" s="62">
        <v>5.76</v>
      </c>
      <c r="BF6" s="62">
        <v>6.45</v>
      </c>
      <c r="BG6" s="62">
        <v>4.8899999999999997</v>
      </c>
      <c r="BI6" s="3">
        <v>42491</v>
      </c>
      <c r="BJ6" s="4">
        <v>66.889499999999998</v>
      </c>
    </row>
    <row r="7" spans="1:62" x14ac:dyDescent="0.25">
      <c r="A7" s="65">
        <v>42375</v>
      </c>
      <c r="B7" s="66">
        <v>7741</v>
      </c>
      <c r="C7" s="66">
        <v>7788.05</v>
      </c>
      <c r="D7" s="66">
        <v>7800.95</v>
      </c>
      <c r="E7" s="66">
        <v>7721.2</v>
      </c>
      <c r="F7" s="67" t="s">
        <v>2672</v>
      </c>
      <c r="G7" s="68">
        <v>-5.5999999999999999E-3</v>
      </c>
      <c r="H7" s="64"/>
      <c r="I7" s="69">
        <v>42373</v>
      </c>
      <c r="J7" s="70">
        <v>7849.8</v>
      </c>
      <c r="K7" s="70">
        <v>7718.05</v>
      </c>
      <c r="L7" s="70">
        <v>7992</v>
      </c>
      <c r="M7" s="70">
        <v>7516.85</v>
      </c>
      <c r="N7" s="61" t="s">
        <v>2790</v>
      </c>
      <c r="O7" s="71">
        <v>1.44E-2</v>
      </c>
      <c r="P7" s="64"/>
      <c r="Q7" s="69">
        <v>42373</v>
      </c>
      <c r="R7" s="70">
        <v>2065.3000000000002</v>
      </c>
      <c r="S7" s="70">
        <v>2056.62</v>
      </c>
      <c r="T7" s="70">
        <v>2111.0500000000002</v>
      </c>
      <c r="U7" s="70">
        <v>2033.8</v>
      </c>
      <c r="V7" s="61"/>
      <c r="W7" s="71">
        <v>2.7000000000000001E-3</v>
      </c>
      <c r="X7" s="64"/>
      <c r="Y7" s="64"/>
      <c r="Z7" s="69">
        <v>42373</v>
      </c>
      <c r="AA7" s="72">
        <v>85898</v>
      </c>
      <c r="AB7" s="72">
        <v>81673</v>
      </c>
      <c r="AC7" s="72">
        <v>86036</v>
      </c>
      <c r="AD7" s="72">
        <v>80234</v>
      </c>
      <c r="AE7" s="61"/>
      <c r="AF7" s="71">
        <v>5.2499999999999998E-2</v>
      </c>
      <c r="AG7" s="64"/>
      <c r="AH7" s="69">
        <v>42373</v>
      </c>
      <c r="AI7" s="72">
        <v>1293.3599999999999</v>
      </c>
      <c r="AJ7" s="72">
        <v>1232.7</v>
      </c>
      <c r="AK7" s="72">
        <v>1296.58</v>
      </c>
      <c r="AL7" s="72">
        <v>1209</v>
      </c>
      <c r="AM7" s="61"/>
      <c r="AN7" s="71">
        <v>4.9799999999999997E-2</v>
      </c>
      <c r="AQ7" s="77" t="s">
        <v>2814</v>
      </c>
      <c r="AR7" s="78">
        <v>101.33</v>
      </c>
      <c r="AS7" s="78">
        <v>101.3</v>
      </c>
      <c r="AT7" s="78">
        <v>101.32</v>
      </c>
      <c r="AU7" s="80"/>
      <c r="AV7" s="80"/>
      <c r="AW7" s="80"/>
      <c r="AY7" s="60">
        <v>42522</v>
      </c>
      <c r="AZ7" s="61">
        <v>2016</v>
      </c>
      <c r="BA7" s="61">
        <v>6</v>
      </c>
      <c r="BB7" s="62">
        <v>68.5</v>
      </c>
      <c r="BC7" s="61">
        <v>68.900000000000006</v>
      </c>
      <c r="BD7" s="61">
        <v>68.099999999999994</v>
      </c>
      <c r="BE7" s="62">
        <v>5.77</v>
      </c>
      <c r="BF7" s="62">
        <v>6.29</v>
      </c>
      <c r="BG7" s="62">
        <v>5.26</v>
      </c>
      <c r="BI7" s="3">
        <v>42522</v>
      </c>
      <c r="BJ7" s="4">
        <v>67.265500000000003</v>
      </c>
    </row>
    <row r="8" spans="1:62" x14ac:dyDescent="0.25">
      <c r="A8" s="65">
        <v>42376</v>
      </c>
      <c r="B8" s="66">
        <v>7568.3</v>
      </c>
      <c r="C8" s="66">
        <v>7673.35</v>
      </c>
      <c r="D8" s="66">
        <v>7674.95</v>
      </c>
      <c r="E8" s="66">
        <v>7556.6</v>
      </c>
      <c r="F8" s="67" t="s">
        <v>2671</v>
      </c>
      <c r="G8" s="68">
        <v>-2.23E-2</v>
      </c>
      <c r="H8" s="64"/>
      <c r="I8" s="69">
        <v>42374</v>
      </c>
      <c r="J8" s="70">
        <v>8160.1</v>
      </c>
      <c r="K8" s="70">
        <v>7822.7</v>
      </c>
      <c r="L8" s="70">
        <v>8213.6</v>
      </c>
      <c r="M8" s="70">
        <v>7678.35</v>
      </c>
      <c r="N8" s="61" t="s">
        <v>2789</v>
      </c>
      <c r="O8" s="71">
        <v>3.95E-2</v>
      </c>
      <c r="P8" s="64"/>
      <c r="Q8" s="69">
        <v>42374</v>
      </c>
      <c r="R8" s="70">
        <v>2096.96</v>
      </c>
      <c r="S8" s="70">
        <v>2067.17</v>
      </c>
      <c r="T8" s="70">
        <v>2103.48</v>
      </c>
      <c r="U8" s="70">
        <v>2025.91</v>
      </c>
      <c r="V8" s="61"/>
      <c r="W8" s="71">
        <v>1.5299999999999999E-2</v>
      </c>
      <c r="X8" s="64"/>
      <c r="Y8" s="64"/>
      <c r="Z8" s="69">
        <v>42374</v>
      </c>
      <c r="AA8" s="72">
        <v>81626</v>
      </c>
      <c r="AB8" s="72">
        <v>85932</v>
      </c>
      <c r="AC8" s="72">
        <v>86592</v>
      </c>
      <c r="AD8" s="72">
        <v>80470</v>
      </c>
      <c r="AE8" s="61"/>
      <c r="AF8" s="71">
        <v>-4.9700000000000001E-2</v>
      </c>
      <c r="AG8" s="64"/>
      <c r="AH8" s="69">
        <v>42374</v>
      </c>
      <c r="AI8" s="72">
        <v>1214.69</v>
      </c>
      <c r="AJ8" s="72">
        <v>1293.69</v>
      </c>
      <c r="AK8" s="72">
        <v>1303.97</v>
      </c>
      <c r="AL8" s="72">
        <v>1199.8800000000001</v>
      </c>
      <c r="AM8" s="61"/>
      <c r="AN8" s="71">
        <v>-6.08E-2</v>
      </c>
      <c r="AQ8" s="77" t="s">
        <v>2815</v>
      </c>
      <c r="AR8" s="78">
        <v>101.34</v>
      </c>
      <c r="AS8" s="78">
        <v>101.47</v>
      </c>
      <c r="AT8" s="78">
        <v>101.39</v>
      </c>
      <c r="AU8" s="80"/>
      <c r="AV8" s="80"/>
      <c r="AW8" s="80"/>
      <c r="AY8" s="60">
        <v>42552</v>
      </c>
      <c r="AZ8" s="61">
        <v>2016</v>
      </c>
      <c r="BA8" s="61">
        <v>7</v>
      </c>
      <c r="BB8" s="62">
        <v>69.099999999999994</v>
      </c>
      <c r="BC8" s="61">
        <v>69.5</v>
      </c>
      <c r="BD8" s="61">
        <v>68.599999999999994</v>
      </c>
      <c r="BE8" s="62">
        <v>6.07</v>
      </c>
      <c r="BF8" s="62">
        <v>6.66</v>
      </c>
      <c r="BG8" s="62">
        <v>5.39</v>
      </c>
      <c r="BI8" s="3">
        <v>42552</v>
      </c>
      <c r="BJ8" s="4">
        <v>67.158000000000001</v>
      </c>
    </row>
    <row r="9" spans="1:62" x14ac:dyDescent="0.25">
      <c r="A9" s="65">
        <v>42377</v>
      </c>
      <c r="B9" s="66">
        <v>7601.35</v>
      </c>
      <c r="C9" s="66">
        <v>7611.65</v>
      </c>
      <c r="D9" s="66">
        <v>7634.1</v>
      </c>
      <c r="E9" s="66">
        <v>7581.05</v>
      </c>
      <c r="F9" s="67" t="s">
        <v>2670</v>
      </c>
      <c r="G9" s="68">
        <v>4.4000000000000003E-3</v>
      </c>
      <c r="H9" s="64"/>
      <c r="I9" s="69">
        <v>42375</v>
      </c>
      <c r="J9" s="70">
        <v>8287.75</v>
      </c>
      <c r="K9" s="70">
        <v>8179.2</v>
      </c>
      <c r="L9" s="70">
        <v>8308.15</v>
      </c>
      <c r="M9" s="70">
        <v>7927.05</v>
      </c>
      <c r="N9" s="61" t="s">
        <v>2788</v>
      </c>
      <c r="O9" s="71">
        <v>1.5599999999999999E-2</v>
      </c>
      <c r="P9" s="64"/>
      <c r="Q9" s="69">
        <v>42375</v>
      </c>
      <c r="R9" s="70">
        <v>2098.86</v>
      </c>
      <c r="S9" s="70">
        <v>2093.94</v>
      </c>
      <c r="T9" s="70">
        <v>2120.5500000000002</v>
      </c>
      <c r="U9" s="70">
        <v>1991.68</v>
      </c>
      <c r="V9" s="61"/>
      <c r="W9" s="71">
        <v>8.9999999999999998E-4</v>
      </c>
      <c r="X9" s="64"/>
      <c r="Y9" s="64"/>
      <c r="Z9" s="69">
        <v>42375</v>
      </c>
      <c r="AA9" s="72">
        <v>89212</v>
      </c>
      <c r="AB9" s="72">
        <v>81673</v>
      </c>
      <c r="AC9" s="72">
        <v>92587</v>
      </c>
      <c r="AD9" s="72">
        <v>81184</v>
      </c>
      <c r="AE9" s="61"/>
      <c r="AF9" s="71">
        <v>9.2899999999999996E-2</v>
      </c>
      <c r="AG9" s="64"/>
      <c r="AH9" s="69">
        <v>42375</v>
      </c>
      <c r="AI9" s="72">
        <v>1321.78</v>
      </c>
      <c r="AJ9" s="72">
        <v>1215.8499999999999</v>
      </c>
      <c r="AK9" s="72">
        <v>1358.47</v>
      </c>
      <c r="AL9" s="72">
        <v>1206.02</v>
      </c>
      <c r="AM9" s="61"/>
      <c r="AN9" s="71">
        <v>8.8200000000000001E-2</v>
      </c>
      <c r="AQ9" s="77" t="s">
        <v>2816</v>
      </c>
      <c r="AR9" s="78">
        <v>101.49</v>
      </c>
      <c r="AS9" s="78">
        <v>101.71</v>
      </c>
      <c r="AT9" s="78">
        <v>101.58</v>
      </c>
      <c r="AU9" s="80"/>
      <c r="AV9" s="80"/>
      <c r="AW9" s="80"/>
      <c r="AY9" s="60">
        <v>42583</v>
      </c>
      <c r="AZ9" s="61">
        <v>2016</v>
      </c>
      <c r="BA9" s="61">
        <v>8</v>
      </c>
      <c r="BB9" s="62">
        <v>69.099999999999994</v>
      </c>
      <c r="BC9" s="61">
        <v>69.7</v>
      </c>
      <c r="BD9" s="61">
        <v>68.3</v>
      </c>
      <c r="BE9" s="62">
        <v>5.05</v>
      </c>
      <c r="BF9" s="62">
        <v>5.87</v>
      </c>
      <c r="BG9" s="62">
        <v>4.22</v>
      </c>
      <c r="BI9" s="3">
        <v>42583</v>
      </c>
      <c r="BJ9" s="4">
        <v>66.903499999999994</v>
      </c>
    </row>
    <row r="10" spans="1:62" x14ac:dyDescent="0.25">
      <c r="A10" s="65">
        <v>42380</v>
      </c>
      <c r="B10" s="66">
        <v>7563.85</v>
      </c>
      <c r="C10" s="66">
        <v>7527.45</v>
      </c>
      <c r="D10" s="66">
        <v>7605.1</v>
      </c>
      <c r="E10" s="66">
        <v>7494.35</v>
      </c>
      <c r="F10" s="67" t="s">
        <v>2669</v>
      </c>
      <c r="G10" s="68">
        <v>-4.8999999999999998E-3</v>
      </c>
      <c r="H10" s="64"/>
      <c r="I10" s="69">
        <v>42376</v>
      </c>
      <c r="J10" s="70">
        <v>8638.5</v>
      </c>
      <c r="K10" s="70">
        <v>8313.0499999999993</v>
      </c>
      <c r="L10" s="70">
        <v>8674.7000000000007</v>
      </c>
      <c r="M10" s="70">
        <v>8287.5499999999993</v>
      </c>
      <c r="N10" s="61" t="s">
        <v>2785</v>
      </c>
      <c r="O10" s="71">
        <v>4.2299999999999997E-2</v>
      </c>
      <c r="P10" s="64"/>
      <c r="Q10" s="69">
        <v>42376</v>
      </c>
      <c r="R10" s="70">
        <v>2173.6</v>
      </c>
      <c r="S10" s="70">
        <v>2099.34</v>
      </c>
      <c r="T10" s="70">
        <v>2177.09</v>
      </c>
      <c r="U10" s="70">
        <v>2074.02</v>
      </c>
      <c r="V10" s="61"/>
      <c r="W10" s="71">
        <v>3.56E-2</v>
      </c>
      <c r="X10" s="64"/>
      <c r="Y10" s="64"/>
      <c r="Z10" s="69">
        <v>42376</v>
      </c>
      <c r="AA10" s="72">
        <v>89974</v>
      </c>
      <c r="AB10" s="72">
        <v>89259</v>
      </c>
      <c r="AC10" s="72">
        <v>92860</v>
      </c>
      <c r="AD10" s="72">
        <v>88061</v>
      </c>
      <c r="AE10" s="61"/>
      <c r="AF10" s="71">
        <v>8.6E-3</v>
      </c>
      <c r="AG10" s="64"/>
      <c r="AH10" s="69">
        <v>42376</v>
      </c>
      <c r="AI10" s="72">
        <v>1350.59</v>
      </c>
      <c r="AJ10" s="72">
        <v>1323.4</v>
      </c>
      <c r="AK10" s="72">
        <v>1375.3</v>
      </c>
      <c r="AL10" s="72">
        <v>1310.8</v>
      </c>
      <c r="AM10" s="61"/>
      <c r="AN10" s="71">
        <v>2.18E-2</v>
      </c>
      <c r="AQ10" s="77" t="s">
        <v>2817</v>
      </c>
      <c r="AR10" s="78">
        <v>101.78</v>
      </c>
      <c r="AS10" s="78">
        <v>102.06</v>
      </c>
      <c r="AT10" s="78">
        <v>101.9</v>
      </c>
      <c r="AU10" s="80"/>
      <c r="AV10" s="80"/>
      <c r="AW10" s="80"/>
      <c r="AY10" s="60">
        <v>42614</v>
      </c>
      <c r="AZ10" s="61">
        <v>2016</v>
      </c>
      <c r="BA10" s="61">
        <v>9</v>
      </c>
      <c r="BB10" s="62">
        <v>68.900000000000006</v>
      </c>
      <c r="BC10" s="61">
        <v>69.7</v>
      </c>
      <c r="BD10" s="61">
        <v>68.099999999999994</v>
      </c>
      <c r="BE10" s="62">
        <v>4.3899999999999997</v>
      </c>
      <c r="BF10" s="62">
        <v>5.04</v>
      </c>
      <c r="BG10" s="62">
        <v>3.64</v>
      </c>
      <c r="BI10" s="3">
        <v>42614</v>
      </c>
      <c r="BJ10" s="4">
        <v>66.713800000000006</v>
      </c>
    </row>
    <row r="11" spans="1:62" x14ac:dyDescent="0.25">
      <c r="A11" s="65">
        <v>42381</v>
      </c>
      <c r="B11" s="66">
        <v>7510.3</v>
      </c>
      <c r="C11" s="66">
        <v>7587.2</v>
      </c>
      <c r="D11" s="66">
        <v>7588.3</v>
      </c>
      <c r="E11" s="66">
        <v>7487.8</v>
      </c>
      <c r="F11" s="67" t="s">
        <v>2668</v>
      </c>
      <c r="G11" s="68">
        <v>-7.1000000000000004E-3</v>
      </c>
      <c r="H11" s="64"/>
      <c r="I11" s="69">
        <v>42377</v>
      </c>
      <c r="J11" s="70">
        <v>8786.2000000000007</v>
      </c>
      <c r="K11" s="70">
        <v>8654.2999999999993</v>
      </c>
      <c r="L11" s="70">
        <v>8819.2000000000007</v>
      </c>
      <c r="M11" s="70">
        <v>8518.15</v>
      </c>
      <c r="N11" s="61" t="s">
        <v>2787</v>
      </c>
      <c r="O11" s="71">
        <v>1.7100000000000001E-2</v>
      </c>
      <c r="P11" s="64"/>
      <c r="Q11" s="69">
        <v>42377</v>
      </c>
      <c r="R11" s="70">
        <v>2170.9499999999998</v>
      </c>
      <c r="S11" s="70">
        <v>2173.15</v>
      </c>
      <c r="T11" s="70">
        <v>2193.81</v>
      </c>
      <c r="U11" s="70">
        <v>2147.58</v>
      </c>
      <c r="V11" s="61"/>
      <c r="W11" s="71">
        <v>-1.1999999999999999E-3</v>
      </c>
      <c r="X11" s="64"/>
      <c r="Y11" s="64"/>
      <c r="Z11" s="69">
        <v>42377</v>
      </c>
      <c r="AA11" s="72">
        <v>87617</v>
      </c>
      <c r="AB11" s="72">
        <v>89982</v>
      </c>
      <c r="AC11" s="72">
        <v>91497</v>
      </c>
      <c r="AD11" s="72">
        <v>87419</v>
      </c>
      <c r="AE11" s="61"/>
      <c r="AF11" s="71">
        <v>-2.6200000000000001E-2</v>
      </c>
      <c r="AG11" s="64"/>
      <c r="AH11" s="69">
        <v>42377</v>
      </c>
      <c r="AI11" s="72">
        <v>1308.45</v>
      </c>
      <c r="AJ11" s="72">
        <v>1349.97</v>
      </c>
      <c r="AK11" s="72">
        <v>1367.69</v>
      </c>
      <c r="AL11" s="72">
        <v>1305.02</v>
      </c>
      <c r="AM11" s="61"/>
      <c r="AN11" s="71">
        <v>-3.1199999999999999E-2</v>
      </c>
      <c r="AQ11" s="77" t="s">
        <v>2818</v>
      </c>
      <c r="AR11" s="78">
        <v>102.39</v>
      </c>
      <c r="AS11" s="78">
        <v>102.66</v>
      </c>
      <c r="AT11" s="78">
        <v>102.51</v>
      </c>
      <c r="AU11" s="80"/>
      <c r="AV11" s="80"/>
      <c r="AW11" s="80"/>
      <c r="AY11" s="60">
        <v>42644</v>
      </c>
      <c r="AZ11" s="61">
        <v>2016</v>
      </c>
      <c r="BA11" s="61">
        <v>10</v>
      </c>
      <c r="BB11" s="62">
        <v>69.2</v>
      </c>
      <c r="BC11" s="61">
        <v>69.900000000000006</v>
      </c>
      <c r="BD11" s="61">
        <v>68.400000000000006</v>
      </c>
      <c r="BE11" s="62">
        <v>4.2</v>
      </c>
      <c r="BF11" s="62">
        <v>4.78</v>
      </c>
      <c r="BG11" s="62">
        <v>3.54</v>
      </c>
      <c r="BI11" s="3">
        <v>42644</v>
      </c>
      <c r="BJ11" s="4">
        <v>66.741500000000002</v>
      </c>
    </row>
    <row r="12" spans="1:62" x14ac:dyDescent="0.25">
      <c r="A12" s="65">
        <v>42382</v>
      </c>
      <c r="B12" s="66">
        <v>7562.4</v>
      </c>
      <c r="C12" s="66">
        <v>7557.9</v>
      </c>
      <c r="D12" s="66">
        <v>7590.95</v>
      </c>
      <c r="E12" s="66">
        <v>7425.8</v>
      </c>
      <c r="F12" s="67" t="s">
        <v>2667</v>
      </c>
      <c r="G12" s="68">
        <v>6.8999999999999999E-3</v>
      </c>
      <c r="H12" s="64"/>
      <c r="I12" s="69">
        <v>42378</v>
      </c>
      <c r="J12" s="70">
        <v>8611.15</v>
      </c>
      <c r="K12" s="70">
        <v>8793.6</v>
      </c>
      <c r="L12" s="70">
        <v>8968.7000000000007</v>
      </c>
      <c r="M12" s="70">
        <v>8555.2000000000007</v>
      </c>
      <c r="N12" s="61" t="s">
        <v>2786</v>
      </c>
      <c r="O12" s="71">
        <v>-1.9900000000000001E-2</v>
      </c>
      <c r="P12" s="64"/>
      <c r="Q12" s="69">
        <v>42378</v>
      </c>
      <c r="R12" s="70">
        <v>2168.27</v>
      </c>
      <c r="S12" s="70">
        <v>2171.33</v>
      </c>
      <c r="T12" s="70">
        <v>2187.87</v>
      </c>
      <c r="U12" s="70">
        <v>2119.12</v>
      </c>
      <c r="V12" s="61"/>
      <c r="W12" s="71">
        <v>-1.1999999999999999E-3</v>
      </c>
      <c r="X12" s="64"/>
      <c r="Y12" s="64"/>
      <c r="Z12" s="69">
        <v>42378</v>
      </c>
      <c r="AA12" s="72">
        <v>87561</v>
      </c>
      <c r="AB12" s="72">
        <v>87663</v>
      </c>
      <c r="AC12" s="72">
        <v>89808</v>
      </c>
      <c r="AD12" s="72">
        <v>87227</v>
      </c>
      <c r="AE12" s="61"/>
      <c r="AF12" s="71">
        <v>-5.9999999999999995E-4</v>
      </c>
      <c r="AG12" s="64"/>
      <c r="AH12" s="69">
        <v>42378</v>
      </c>
      <c r="AI12" s="72">
        <v>1315.8</v>
      </c>
      <c r="AJ12" s="72">
        <v>1309.3499999999999</v>
      </c>
      <c r="AK12" s="72">
        <v>1353.03</v>
      </c>
      <c r="AL12" s="72">
        <v>1302.33</v>
      </c>
      <c r="AM12" s="61"/>
      <c r="AN12" s="71">
        <v>5.5999999999999999E-3</v>
      </c>
      <c r="AQ12" s="77" t="s">
        <v>2819</v>
      </c>
      <c r="AR12" s="78">
        <v>103.34</v>
      </c>
      <c r="AS12" s="78">
        <v>103.36</v>
      </c>
      <c r="AT12" s="78">
        <v>103.35</v>
      </c>
      <c r="AU12" s="80"/>
      <c r="AV12" s="80"/>
      <c r="AW12" s="80"/>
      <c r="AY12" s="60">
        <v>42675</v>
      </c>
      <c r="AZ12" s="61">
        <v>2016</v>
      </c>
      <c r="BA12" s="61">
        <v>11</v>
      </c>
      <c r="BB12" s="62">
        <v>69.099999999999994</v>
      </c>
      <c r="BC12" s="61">
        <v>69.8</v>
      </c>
      <c r="BD12" s="61">
        <v>68.400000000000006</v>
      </c>
      <c r="BE12" s="62">
        <v>3.63</v>
      </c>
      <c r="BF12" s="62">
        <v>4.13</v>
      </c>
      <c r="BG12" s="62">
        <v>3.13</v>
      </c>
      <c r="BI12" s="3">
        <v>42675</v>
      </c>
      <c r="BJ12" s="4">
        <v>67.639499999999998</v>
      </c>
    </row>
    <row r="13" spans="1:62" x14ac:dyDescent="0.25">
      <c r="A13" s="65">
        <v>42383</v>
      </c>
      <c r="B13" s="66">
        <v>7536.8</v>
      </c>
      <c r="C13" s="66">
        <v>7467.4</v>
      </c>
      <c r="D13" s="66">
        <v>7604.8</v>
      </c>
      <c r="E13" s="66">
        <v>7443.8</v>
      </c>
      <c r="F13" s="67" t="s">
        <v>2666</v>
      </c>
      <c r="G13" s="68">
        <v>-3.3999999999999998E-3</v>
      </c>
      <c r="H13" s="64"/>
      <c r="I13" s="69">
        <v>42379</v>
      </c>
      <c r="J13" s="70">
        <v>8625.7000000000007</v>
      </c>
      <c r="K13" s="70">
        <v>8666.15</v>
      </c>
      <c r="L13" s="70">
        <v>8806.9500000000007</v>
      </c>
      <c r="M13" s="70">
        <v>8506.15</v>
      </c>
      <c r="N13" s="61" t="s">
        <v>2785</v>
      </c>
      <c r="O13" s="71">
        <v>1.6999999999999999E-3</v>
      </c>
      <c r="P13" s="64"/>
      <c r="Q13" s="69">
        <v>42379</v>
      </c>
      <c r="R13" s="70">
        <v>2126.15</v>
      </c>
      <c r="S13" s="70">
        <v>2164.33</v>
      </c>
      <c r="T13" s="70">
        <v>2169.6</v>
      </c>
      <c r="U13" s="70">
        <v>2114.7199999999998</v>
      </c>
      <c r="V13" s="61"/>
      <c r="W13" s="71">
        <v>-1.9400000000000001E-2</v>
      </c>
      <c r="X13" s="64"/>
      <c r="Y13" s="64"/>
      <c r="Z13" s="69">
        <v>42379</v>
      </c>
      <c r="AA13" s="72">
        <v>85163</v>
      </c>
      <c r="AB13" s="72">
        <v>87584</v>
      </c>
      <c r="AC13" s="72">
        <v>87841</v>
      </c>
      <c r="AD13" s="72">
        <v>82681</v>
      </c>
      <c r="AE13" s="61"/>
      <c r="AF13" s="71">
        <v>-2.7400000000000001E-2</v>
      </c>
      <c r="AG13" s="64"/>
      <c r="AH13" s="69">
        <v>42379</v>
      </c>
      <c r="AI13" s="72">
        <v>1277.28</v>
      </c>
      <c r="AJ13" s="72">
        <v>1317.83</v>
      </c>
      <c r="AK13" s="72">
        <v>1319.93</v>
      </c>
      <c r="AL13" s="72">
        <v>1241.46</v>
      </c>
      <c r="AM13" s="61"/>
      <c r="AN13" s="71">
        <v>-2.93E-2</v>
      </c>
      <c r="AQ13" s="77" t="s">
        <v>2820</v>
      </c>
      <c r="AR13" s="78">
        <v>103.84</v>
      </c>
      <c r="AS13" s="78">
        <v>103.6</v>
      </c>
      <c r="AT13" s="78">
        <v>103.74</v>
      </c>
      <c r="AU13" s="80"/>
      <c r="AV13" s="80"/>
      <c r="AW13" s="80"/>
      <c r="AY13" s="60">
        <v>42705</v>
      </c>
      <c r="AZ13" s="61">
        <v>2016</v>
      </c>
      <c r="BA13" s="61">
        <v>12</v>
      </c>
      <c r="BB13" s="62">
        <v>68.7</v>
      </c>
      <c r="BC13" s="61">
        <v>69.3</v>
      </c>
      <c r="BD13" s="61">
        <v>67.900000000000006</v>
      </c>
      <c r="BE13" s="62">
        <v>3.41</v>
      </c>
      <c r="BF13" s="62">
        <v>3.83</v>
      </c>
      <c r="BG13" s="62">
        <v>2.9</v>
      </c>
      <c r="BI13" s="3">
        <v>42705</v>
      </c>
      <c r="BJ13" s="4">
        <v>67.805199999999999</v>
      </c>
    </row>
    <row r="14" spans="1:62" x14ac:dyDescent="0.25">
      <c r="A14" s="65">
        <v>42384</v>
      </c>
      <c r="B14" s="66">
        <v>7437.8</v>
      </c>
      <c r="C14" s="66">
        <v>7561.65</v>
      </c>
      <c r="D14" s="66">
        <v>7566.5</v>
      </c>
      <c r="E14" s="66">
        <v>7427.3</v>
      </c>
      <c r="F14" s="67" t="s">
        <v>2665</v>
      </c>
      <c r="G14" s="68">
        <v>-1.3100000000000001E-2</v>
      </c>
      <c r="H14" s="64"/>
      <c r="I14" s="69">
        <v>42380</v>
      </c>
      <c r="J14" s="70">
        <v>8224.5</v>
      </c>
      <c r="K14" s="70">
        <v>8653.15</v>
      </c>
      <c r="L14" s="70">
        <v>8669.6</v>
      </c>
      <c r="M14" s="70">
        <v>7916.4</v>
      </c>
      <c r="N14" s="61" t="s">
        <v>2784</v>
      </c>
      <c r="O14" s="71">
        <v>-4.65E-2</v>
      </c>
      <c r="P14" s="64"/>
      <c r="Q14" s="69">
        <v>42380</v>
      </c>
      <c r="R14" s="70">
        <v>2198.81</v>
      </c>
      <c r="S14" s="70">
        <v>2128.6799999999998</v>
      </c>
      <c r="T14" s="70">
        <v>2214.1</v>
      </c>
      <c r="U14" s="70">
        <v>2083.79</v>
      </c>
      <c r="V14" s="61"/>
      <c r="W14" s="71">
        <v>3.4200000000000001E-2</v>
      </c>
      <c r="X14" s="64"/>
      <c r="Y14" s="64"/>
      <c r="Z14" s="69">
        <v>42380</v>
      </c>
      <c r="AA14" s="72">
        <v>80464</v>
      </c>
      <c r="AB14" s="72">
        <v>85183</v>
      </c>
      <c r="AC14" s="72">
        <v>89489</v>
      </c>
      <c r="AD14" s="72">
        <v>80281</v>
      </c>
      <c r="AE14" s="61"/>
      <c r="AF14" s="71">
        <v>-5.5199999999999999E-2</v>
      </c>
      <c r="AG14" s="64"/>
      <c r="AH14" s="69">
        <v>42380</v>
      </c>
      <c r="AI14" s="72">
        <v>1172.7</v>
      </c>
      <c r="AJ14" s="72">
        <v>1276.9000000000001</v>
      </c>
      <c r="AK14" s="72">
        <v>1337.85</v>
      </c>
      <c r="AL14" s="72">
        <v>1170.72</v>
      </c>
      <c r="AM14" s="61"/>
      <c r="AN14" s="71">
        <v>-8.1900000000000001E-2</v>
      </c>
      <c r="AQ14" s="77" t="s">
        <v>2821</v>
      </c>
      <c r="AR14" s="78">
        <v>103.8</v>
      </c>
      <c r="AS14" s="78">
        <v>103.66</v>
      </c>
      <c r="AT14" s="78">
        <v>103.74</v>
      </c>
      <c r="AU14" s="80"/>
      <c r="AV14" s="80"/>
      <c r="AW14" s="80"/>
      <c r="AY14" s="60">
        <v>42736</v>
      </c>
      <c r="AZ14" s="61">
        <v>2017</v>
      </c>
      <c r="BA14" s="61">
        <v>1</v>
      </c>
      <c r="BB14" s="62">
        <v>68.599999999999994</v>
      </c>
      <c r="BC14" s="61">
        <v>69.099999999999994</v>
      </c>
      <c r="BD14" s="61">
        <v>68</v>
      </c>
      <c r="BE14" s="62">
        <v>3.17</v>
      </c>
      <c r="BF14" s="62">
        <v>3.36</v>
      </c>
      <c r="BG14" s="62">
        <v>2.9</v>
      </c>
      <c r="BI14" s="3">
        <v>42736</v>
      </c>
      <c r="BJ14" s="4">
        <v>68.047399999999996</v>
      </c>
    </row>
    <row r="15" spans="1:62" x14ac:dyDescent="0.25">
      <c r="A15" s="65">
        <v>42387</v>
      </c>
      <c r="B15" s="66">
        <v>7351</v>
      </c>
      <c r="C15" s="66">
        <v>7420.35</v>
      </c>
      <c r="D15" s="66">
        <v>7463.65</v>
      </c>
      <c r="E15" s="66">
        <v>7336.4</v>
      </c>
      <c r="F15" s="67" t="s">
        <v>2664</v>
      </c>
      <c r="G15" s="68">
        <v>-1.17E-2</v>
      </c>
      <c r="H15" s="64"/>
      <c r="I15" s="69">
        <v>42381</v>
      </c>
      <c r="J15" s="70">
        <v>8185.8</v>
      </c>
      <c r="K15" s="70">
        <v>8244</v>
      </c>
      <c r="L15" s="70">
        <v>8274.9500000000007</v>
      </c>
      <c r="M15" s="70">
        <v>7893.8</v>
      </c>
      <c r="N15" s="61" t="s">
        <v>2783</v>
      </c>
      <c r="O15" s="71">
        <v>-4.7000000000000002E-3</v>
      </c>
      <c r="P15" s="64"/>
      <c r="Q15" s="69">
        <v>42381</v>
      </c>
      <c r="R15" s="70">
        <v>2238.83</v>
      </c>
      <c r="S15" s="70">
        <v>2200.17</v>
      </c>
      <c r="T15" s="70">
        <v>2277.5300000000002</v>
      </c>
      <c r="U15" s="70">
        <v>2187.44</v>
      </c>
      <c r="V15" s="61"/>
      <c r="W15" s="71">
        <v>1.8200000000000001E-2</v>
      </c>
      <c r="X15" s="64"/>
      <c r="Y15" s="64"/>
      <c r="Z15" s="69">
        <v>42381</v>
      </c>
      <c r="AA15" s="72">
        <v>78235</v>
      </c>
      <c r="AB15" s="72">
        <v>80488</v>
      </c>
      <c r="AC15" s="72">
        <v>80816</v>
      </c>
      <c r="AD15" s="72">
        <v>76234</v>
      </c>
      <c r="AE15" s="61"/>
      <c r="AF15" s="71">
        <v>-2.7699999999999999E-2</v>
      </c>
      <c r="AG15" s="64"/>
      <c r="AH15" s="69">
        <v>42381</v>
      </c>
      <c r="AI15" s="72">
        <v>1151.46</v>
      </c>
      <c r="AJ15" s="72">
        <v>1173.01</v>
      </c>
      <c r="AK15" s="72">
        <v>1188.0899999999999</v>
      </c>
      <c r="AL15" s="72">
        <v>1122.69</v>
      </c>
      <c r="AM15" s="61"/>
      <c r="AN15" s="71">
        <v>-1.8100000000000002E-2</v>
      </c>
      <c r="AQ15" s="77" t="s">
        <v>2822</v>
      </c>
      <c r="AR15" s="78">
        <v>103.85</v>
      </c>
      <c r="AS15" s="78">
        <v>103.61</v>
      </c>
      <c r="AT15" s="78">
        <v>103.74</v>
      </c>
      <c r="AU15" s="80"/>
      <c r="AV15" s="80"/>
      <c r="AW15" s="80"/>
      <c r="AY15" s="60">
        <v>42767</v>
      </c>
      <c r="AZ15" s="61">
        <v>2017</v>
      </c>
      <c r="BA15" s="61">
        <v>2</v>
      </c>
      <c r="BB15" s="62">
        <v>68.8</v>
      </c>
      <c r="BC15" s="61">
        <v>69.2</v>
      </c>
      <c r="BD15" s="61">
        <v>68.2</v>
      </c>
      <c r="BE15" s="62">
        <v>3.65</v>
      </c>
      <c r="BF15" s="62">
        <v>3.67</v>
      </c>
      <c r="BG15" s="62">
        <v>3.55</v>
      </c>
      <c r="BI15" s="3">
        <v>42767</v>
      </c>
      <c r="BJ15" s="4">
        <v>66.9726</v>
      </c>
    </row>
    <row r="16" spans="1:62" x14ac:dyDescent="0.25">
      <c r="A16" s="65">
        <v>42388</v>
      </c>
      <c r="B16" s="66">
        <v>7435.1</v>
      </c>
      <c r="C16" s="66">
        <v>7381.8</v>
      </c>
      <c r="D16" s="66">
        <v>7462.75</v>
      </c>
      <c r="E16" s="66">
        <v>7364.15</v>
      </c>
      <c r="F16" s="67" t="s">
        <v>2663</v>
      </c>
      <c r="G16" s="68">
        <v>1.14E-2</v>
      </c>
      <c r="H16" s="64"/>
      <c r="I16" s="69">
        <v>42736</v>
      </c>
      <c r="J16" s="70">
        <v>8561.2999999999993</v>
      </c>
      <c r="K16" s="70">
        <v>8210.1</v>
      </c>
      <c r="L16" s="70">
        <v>8672.7000000000007</v>
      </c>
      <c r="M16" s="70">
        <v>8133.8</v>
      </c>
      <c r="N16" s="61" t="s">
        <v>2782</v>
      </c>
      <c r="O16" s="71">
        <v>4.5900000000000003E-2</v>
      </c>
      <c r="P16" s="64"/>
      <c r="Q16" s="69">
        <v>42736</v>
      </c>
      <c r="R16" s="70">
        <v>2278.87</v>
      </c>
      <c r="S16" s="70">
        <v>2251.5700000000002</v>
      </c>
      <c r="T16" s="70">
        <v>2300.9899999999998</v>
      </c>
      <c r="U16" s="70">
        <v>2245.13</v>
      </c>
      <c r="V16" s="61"/>
      <c r="W16" s="71">
        <v>1.7899999999999999E-2</v>
      </c>
      <c r="X16" s="64"/>
      <c r="Y16" s="64"/>
      <c r="Z16" s="69">
        <v>42736</v>
      </c>
      <c r="AA16" s="72">
        <v>81660</v>
      </c>
      <c r="AB16" s="72">
        <v>78273</v>
      </c>
      <c r="AC16" s="72">
        <v>83052</v>
      </c>
      <c r="AD16" s="72">
        <v>78233</v>
      </c>
      <c r="AE16" s="61"/>
      <c r="AF16" s="71">
        <v>4.3799999999999999E-2</v>
      </c>
      <c r="AG16" s="64"/>
      <c r="AH16" s="69">
        <v>42736</v>
      </c>
      <c r="AI16" s="72">
        <v>1210.51</v>
      </c>
      <c r="AJ16" s="72">
        <v>1151.0899999999999</v>
      </c>
      <c r="AK16" s="72">
        <v>1220.21</v>
      </c>
      <c r="AL16" s="72">
        <v>1145.99</v>
      </c>
      <c r="AM16" s="61"/>
      <c r="AN16" s="71">
        <v>5.1299999999999998E-2</v>
      </c>
      <c r="AQ16" s="77" t="s">
        <v>2823</v>
      </c>
      <c r="AR16" s="78">
        <v>104.16</v>
      </c>
      <c r="AS16" s="78">
        <v>103.83</v>
      </c>
      <c r="AT16" s="78">
        <v>104.01</v>
      </c>
      <c r="AU16" s="80"/>
      <c r="AV16" s="80"/>
      <c r="AW16" s="80"/>
      <c r="AY16" s="60">
        <v>42795</v>
      </c>
      <c r="AZ16" s="61">
        <v>2017</v>
      </c>
      <c r="BA16" s="61">
        <v>3</v>
      </c>
      <c r="BB16" s="62">
        <v>68.900000000000006</v>
      </c>
      <c r="BC16" s="61">
        <v>69.3</v>
      </c>
      <c r="BD16" s="61">
        <v>68.5</v>
      </c>
      <c r="BE16" s="62">
        <v>3.89</v>
      </c>
      <c r="BF16" s="62">
        <v>3.75</v>
      </c>
      <c r="BG16" s="62">
        <v>3.96</v>
      </c>
      <c r="BI16" s="3">
        <v>42795</v>
      </c>
      <c r="BJ16" s="4">
        <v>65.800899999999999</v>
      </c>
    </row>
    <row r="17" spans="1:62" x14ac:dyDescent="0.25">
      <c r="A17" s="65">
        <v>42389</v>
      </c>
      <c r="B17" s="66">
        <v>7309.3</v>
      </c>
      <c r="C17" s="66">
        <v>7357</v>
      </c>
      <c r="D17" s="66">
        <v>7470.9</v>
      </c>
      <c r="E17" s="66">
        <v>7241.5</v>
      </c>
      <c r="F17" s="67" t="s">
        <v>2662</v>
      </c>
      <c r="G17" s="68">
        <v>-1.6899999999999998E-2</v>
      </c>
      <c r="H17" s="64"/>
      <c r="I17" s="69">
        <v>42737</v>
      </c>
      <c r="J17" s="70">
        <v>8879.6</v>
      </c>
      <c r="K17" s="70">
        <v>8570.35</v>
      </c>
      <c r="L17" s="70">
        <v>8982.15</v>
      </c>
      <c r="M17" s="70">
        <v>8537.5</v>
      </c>
      <c r="N17" s="61" t="s">
        <v>2770</v>
      </c>
      <c r="O17" s="71">
        <v>3.7199999999999997E-2</v>
      </c>
      <c r="P17" s="64"/>
      <c r="Q17" s="69">
        <v>42737</v>
      </c>
      <c r="R17" s="70">
        <v>2363.64</v>
      </c>
      <c r="S17" s="70">
        <v>2285.59</v>
      </c>
      <c r="T17" s="70">
        <v>2371.54</v>
      </c>
      <c r="U17" s="70">
        <v>2271.65</v>
      </c>
      <c r="V17" s="61"/>
      <c r="W17" s="71">
        <v>3.7199999999999997E-2</v>
      </c>
      <c r="X17" s="64"/>
      <c r="Y17" s="64"/>
      <c r="Z17" s="69">
        <v>42737</v>
      </c>
      <c r="AA17" s="72">
        <v>83240</v>
      </c>
      <c r="AB17" s="72">
        <v>81754</v>
      </c>
      <c r="AC17" s="72">
        <v>84320</v>
      </c>
      <c r="AD17" s="72">
        <v>80803</v>
      </c>
      <c r="AE17" s="61"/>
      <c r="AF17" s="71">
        <v>1.9300000000000001E-2</v>
      </c>
      <c r="AG17" s="64"/>
      <c r="AH17" s="69">
        <v>42737</v>
      </c>
      <c r="AI17" s="72">
        <v>1248.52</v>
      </c>
      <c r="AJ17" s="72">
        <v>1210.5999999999999</v>
      </c>
      <c r="AK17" s="72">
        <v>1264.18</v>
      </c>
      <c r="AL17" s="72">
        <v>1198.04</v>
      </c>
      <c r="AM17" s="61"/>
      <c r="AN17" s="71">
        <v>3.1399999999999997E-2</v>
      </c>
      <c r="AQ17" s="77" t="s">
        <v>2824</v>
      </c>
      <c r="AR17" s="78">
        <v>104.19</v>
      </c>
      <c r="AS17" s="78">
        <v>103.98</v>
      </c>
      <c r="AT17" s="78">
        <v>104.1</v>
      </c>
      <c r="AU17" s="80"/>
      <c r="AV17" s="80"/>
      <c r="AW17" s="80"/>
      <c r="AY17" s="60">
        <v>42826</v>
      </c>
      <c r="AZ17" s="61">
        <v>2017</v>
      </c>
      <c r="BA17" s="61">
        <v>4</v>
      </c>
      <c r="BB17" s="62">
        <v>69.099999999999994</v>
      </c>
      <c r="BC17" s="61">
        <v>69.400000000000006</v>
      </c>
      <c r="BD17" s="61">
        <v>68.7</v>
      </c>
      <c r="BE17" s="62">
        <v>2.99</v>
      </c>
      <c r="BF17" s="62">
        <v>3.02</v>
      </c>
      <c r="BG17" s="62">
        <v>3.03</v>
      </c>
      <c r="BI17" s="3">
        <v>42826</v>
      </c>
      <c r="BJ17" s="4">
        <v>64.536000000000001</v>
      </c>
    </row>
    <row r="18" spans="1:62" x14ac:dyDescent="0.25">
      <c r="A18" s="65">
        <v>42390</v>
      </c>
      <c r="B18" s="66">
        <v>7276.8</v>
      </c>
      <c r="C18" s="66">
        <v>7376.65</v>
      </c>
      <c r="D18" s="66">
        <v>7398.7</v>
      </c>
      <c r="E18" s="66">
        <v>7250</v>
      </c>
      <c r="F18" s="67" t="s">
        <v>2661</v>
      </c>
      <c r="G18" s="68">
        <v>-4.4000000000000003E-3</v>
      </c>
      <c r="H18" s="64"/>
      <c r="I18" s="69">
        <v>42738</v>
      </c>
      <c r="J18" s="70">
        <v>9173.75</v>
      </c>
      <c r="K18" s="70">
        <v>8904.4</v>
      </c>
      <c r="L18" s="70">
        <v>9218.4</v>
      </c>
      <c r="M18" s="70">
        <v>8860.1</v>
      </c>
      <c r="N18" s="61" t="s">
        <v>2781</v>
      </c>
      <c r="O18" s="71">
        <v>3.3099999999999997E-2</v>
      </c>
      <c r="P18" s="64"/>
      <c r="Q18" s="69">
        <v>42738</v>
      </c>
      <c r="R18" s="70">
        <v>2362.7199999999998</v>
      </c>
      <c r="S18" s="70">
        <v>2380.13</v>
      </c>
      <c r="T18" s="70">
        <v>2400.98</v>
      </c>
      <c r="U18" s="70">
        <v>2322.25</v>
      </c>
      <c r="V18" s="61"/>
      <c r="W18" s="71">
        <v>-4.0000000000000002E-4</v>
      </c>
      <c r="X18" s="64"/>
      <c r="Y18" s="64"/>
      <c r="Z18" s="69">
        <v>42738</v>
      </c>
      <c r="AA18" s="72">
        <v>80979</v>
      </c>
      <c r="AB18" s="72">
        <v>83298</v>
      </c>
      <c r="AC18" s="72">
        <v>83646</v>
      </c>
      <c r="AD18" s="72">
        <v>78626</v>
      </c>
      <c r="AE18" s="61"/>
      <c r="AF18" s="71">
        <v>-2.7199999999999998E-2</v>
      </c>
      <c r="AG18" s="64"/>
      <c r="AH18" s="69">
        <v>42738</v>
      </c>
      <c r="AI18" s="72">
        <v>1248.6300000000001</v>
      </c>
      <c r="AJ18" s="72">
        <v>1248.57</v>
      </c>
      <c r="AK18" s="72">
        <v>1261.4100000000001</v>
      </c>
      <c r="AL18" s="72">
        <v>1194.8900000000001</v>
      </c>
      <c r="AM18" s="61"/>
      <c r="AN18" s="71">
        <v>1E-4</v>
      </c>
      <c r="AQ18" s="77" t="s">
        <v>2825</v>
      </c>
      <c r="AR18" s="78">
        <v>104.59</v>
      </c>
      <c r="AS18" s="78">
        <v>104.28</v>
      </c>
      <c r="AT18" s="78">
        <v>104.45</v>
      </c>
      <c r="AU18" s="78">
        <v>2.73</v>
      </c>
      <c r="AV18" s="78">
        <v>2.75</v>
      </c>
      <c r="AW18" s="78">
        <v>2.74</v>
      </c>
      <c r="AY18" s="60">
        <v>42856</v>
      </c>
      <c r="AZ18" s="61">
        <v>2017</v>
      </c>
      <c r="BA18" s="61">
        <v>5</v>
      </c>
      <c r="BB18" s="62">
        <v>69.2</v>
      </c>
      <c r="BC18" s="61">
        <v>69.599999999999994</v>
      </c>
      <c r="BD18" s="61">
        <v>68.8</v>
      </c>
      <c r="BE18" s="62">
        <v>2.1800000000000002</v>
      </c>
      <c r="BF18" s="62">
        <v>2.2999999999999998</v>
      </c>
      <c r="BG18" s="62">
        <v>2.13</v>
      </c>
      <c r="BI18" s="3">
        <v>42856</v>
      </c>
      <c r="BJ18" s="4">
        <v>64.419499999999999</v>
      </c>
    </row>
    <row r="19" spans="1:62" x14ac:dyDescent="0.25">
      <c r="A19" s="65">
        <v>42391</v>
      </c>
      <c r="B19" s="66">
        <v>7422.45</v>
      </c>
      <c r="C19" s="66">
        <v>7355.7</v>
      </c>
      <c r="D19" s="66">
        <v>7433.4</v>
      </c>
      <c r="E19" s="66">
        <v>7327.6</v>
      </c>
      <c r="F19" s="67" t="s">
        <v>2660</v>
      </c>
      <c r="G19" s="68">
        <v>0.02</v>
      </c>
      <c r="H19" s="64"/>
      <c r="I19" s="69">
        <v>42739</v>
      </c>
      <c r="J19" s="70">
        <v>9304.0499999999993</v>
      </c>
      <c r="K19" s="70">
        <v>9220.6</v>
      </c>
      <c r="L19" s="70">
        <v>9367.15</v>
      </c>
      <c r="M19" s="70">
        <v>9075.15</v>
      </c>
      <c r="N19" s="61" t="s">
        <v>2780</v>
      </c>
      <c r="O19" s="71">
        <v>1.4200000000000001E-2</v>
      </c>
      <c r="P19" s="64"/>
      <c r="Q19" s="69">
        <v>42739</v>
      </c>
      <c r="R19" s="70">
        <v>2384.1999999999998</v>
      </c>
      <c r="S19" s="70">
        <v>2362.34</v>
      </c>
      <c r="T19" s="70">
        <v>2398.16</v>
      </c>
      <c r="U19" s="70">
        <v>2328.9499999999998</v>
      </c>
      <c r="V19" s="61"/>
      <c r="W19" s="71">
        <v>9.1000000000000004E-3</v>
      </c>
      <c r="X19" s="64"/>
      <c r="Y19" s="64"/>
      <c r="Z19" s="69">
        <v>42739</v>
      </c>
      <c r="AA19" s="72">
        <v>81472</v>
      </c>
      <c r="AB19" s="72">
        <v>80965</v>
      </c>
      <c r="AC19" s="72">
        <v>83544</v>
      </c>
      <c r="AD19" s="72">
        <v>80446</v>
      </c>
      <c r="AE19" s="61"/>
      <c r="AF19" s="71">
        <v>6.1000000000000004E-3</v>
      </c>
      <c r="AG19" s="64"/>
      <c r="AH19" s="69">
        <v>42739</v>
      </c>
      <c r="AI19" s="72">
        <v>1267.6500000000001</v>
      </c>
      <c r="AJ19" s="72">
        <v>1248.3</v>
      </c>
      <c r="AK19" s="72">
        <v>1295.6600000000001</v>
      </c>
      <c r="AL19" s="72">
        <v>1243.69</v>
      </c>
      <c r="AM19" s="61"/>
      <c r="AN19" s="71">
        <v>1.52E-2</v>
      </c>
      <c r="AQ19" s="77" t="s">
        <v>2826</v>
      </c>
      <c r="AR19" s="78">
        <v>104.74</v>
      </c>
      <c r="AS19" s="78">
        <v>104.36</v>
      </c>
      <c r="AT19" s="78">
        <v>104.57</v>
      </c>
      <c r="AU19" s="78">
        <v>3.37</v>
      </c>
      <c r="AV19" s="78">
        <v>3.02</v>
      </c>
      <c r="AW19" s="78">
        <v>3.21</v>
      </c>
      <c r="AY19" s="60">
        <v>42887</v>
      </c>
      <c r="AZ19" s="61">
        <v>2017</v>
      </c>
      <c r="BA19" s="61">
        <v>6</v>
      </c>
      <c r="BB19" s="62">
        <v>69.5</v>
      </c>
      <c r="BC19" s="61">
        <v>69.900000000000006</v>
      </c>
      <c r="BD19" s="61">
        <v>69.099999999999994</v>
      </c>
      <c r="BE19" s="62">
        <v>1.46</v>
      </c>
      <c r="BF19" s="62">
        <v>1.52</v>
      </c>
      <c r="BG19" s="62">
        <v>1.41</v>
      </c>
      <c r="BI19" s="3">
        <v>42887</v>
      </c>
      <c r="BJ19" s="4">
        <v>64.4482</v>
      </c>
    </row>
    <row r="20" spans="1:62" x14ac:dyDescent="0.25">
      <c r="A20" s="65">
        <v>42394</v>
      </c>
      <c r="B20" s="66">
        <v>7436.15</v>
      </c>
      <c r="C20" s="66">
        <v>7468.75</v>
      </c>
      <c r="D20" s="66">
        <v>7487.15</v>
      </c>
      <c r="E20" s="66">
        <v>7421.2</v>
      </c>
      <c r="F20" s="67" t="s">
        <v>2659</v>
      </c>
      <c r="G20" s="68">
        <v>1.8E-3</v>
      </c>
      <c r="H20" s="64"/>
      <c r="I20" s="69">
        <v>42740</v>
      </c>
      <c r="J20" s="70">
        <v>9621.25</v>
      </c>
      <c r="K20" s="70">
        <v>9339.85</v>
      </c>
      <c r="L20" s="70">
        <v>9649.6</v>
      </c>
      <c r="M20" s="70">
        <v>9269.9</v>
      </c>
      <c r="N20" s="61" t="s">
        <v>2779</v>
      </c>
      <c r="O20" s="71">
        <v>3.4099999999999998E-2</v>
      </c>
      <c r="P20" s="64"/>
      <c r="Q20" s="69">
        <v>42740</v>
      </c>
      <c r="R20" s="70">
        <v>2411.8000000000002</v>
      </c>
      <c r="S20" s="70">
        <v>2388.5</v>
      </c>
      <c r="T20" s="70">
        <v>2418.71</v>
      </c>
      <c r="U20" s="70">
        <v>2352.7199999999998</v>
      </c>
      <c r="V20" s="61"/>
      <c r="W20" s="71">
        <v>1.1599999999999999E-2</v>
      </c>
      <c r="X20" s="64"/>
      <c r="Y20" s="64"/>
      <c r="Z20" s="69">
        <v>42740</v>
      </c>
      <c r="AA20" s="72">
        <v>81798</v>
      </c>
      <c r="AB20" s="72">
        <v>81552</v>
      </c>
      <c r="AC20" s="72">
        <v>82205</v>
      </c>
      <c r="AD20" s="72">
        <v>78521</v>
      </c>
      <c r="AE20" s="61"/>
      <c r="AF20" s="71">
        <v>4.0000000000000001E-3</v>
      </c>
      <c r="AG20" s="64"/>
      <c r="AH20" s="69">
        <v>42740</v>
      </c>
      <c r="AI20" s="72">
        <v>1268.0899999999999</v>
      </c>
      <c r="AJ20" s="72">
        <v>1268.5</v>
      </c>
      <c r="AK20" s="72">
        <v>1274.3</v>
      </c>
      <c r="AL20" s="72">
        <v>1214.18</v>
      </c>
      <c r="AM20" s="61"/>
      <c r="AN20" s="71">
        <v>2.9999999999999997E-4</v>
      </c>
      <c r="AQ20" s="81">
        <v>46082</v>
      </c>
      <c r="AR20" s="78">
        <v>105.02</v>
      </c>
      <c r="AS20" s="78">
        <v>104.62</v>
      </c>
      <c r="AT20" s="78">
        <v>104.84</v>
      </c>
      <c r="AU20" s="78">
        <v>3.63</v>
      </c>
      <c r="AV20" s="78">
        <v>3.11</v>
      </c>
      <c r="AW20" s="78">
        <v>3.4</v>
      </c>
      <c r="AY20" s="60">
        <v>42917</v>
      </c>
      <c r="AZ20" s="61">
        <v>2017</v>
      </c>
      <c r="BA20" s="61">
        <v>7</v>
      </c>
      <c r="BB20" s="62">
        <v>70.7</v>
      </c>
      <c r="BC20" s="61">
        <v>71.099999999999994</v>
      </c>
      <c r="BD20" s="61">
        <v>70.099999999999994</v>
      </c>
      <c r="BE20" s="62">
        <v>2.36</v>
      </c>
      <c r="BF20" s="62">
        <v>2.41</v>
      </c>
      <c r="BG20" s="62">
        <v>2.17</v>
      </c>
      <c r="BI20" s="3">
        <v>42917</v>
      </c>
      <c r="BJ20" s="4">
        <v>64.424000000000007</v>
      </c>
    </row>
    <row r="21" spans="1:62" x14ac:dyDescent="0.25">
      <c r="A21" s="65">
        <v>42396</v>
      </c>
      <c r="B21" s="66">
        <v>7437.75</v>
      </c>
      <c r="C21" s="66">
        <v>7469.6</v>
      </c>
      <c r="D21" s="66">
        <v>7477.9</v>
      </c>
      <c r="E21" s="66">
        <v>7419.7</v>
      </c>
      <c r="F21" s="67" t="s">
        <v>2658</v>
      </c>
      <c r="G21" s="68">
        <v>2.0000000000000001E-4</v>
      </c>
      <c r="H21" s="64"/>
      <c r="I21" s="69">
        <v>42741</v>
      </c>
      <c r="J21" s="70">
        <v>9520.9</v>
      </c>
      <c r="K21" s="70">
        <v>9603.5499999999993</v>
      </c>
      <c r="L21" s="70">
        <v>9709.2999999999993</v>
      </c>
      <c r="M21" s="70">
        <v>9448.75</v>
      </c>
      <c r="N21" s="61" t="s">
        <v>2778</v>
      </c>
      <c r="O21" s="71">
        <v>-1.04E-2</v>
      </c>
      <c r="P21" s="64"/>
      <c r="Q21" s="69">
        <v>42741</v>
      </c>
      <c r="R21" s="70">
        <v>2423.41</v>
      </c>
      <c r="S21" s="70">
        <v>2415.65</v>
      </c>
      <c r="T21" s="70">
        <v>2453.8200000000002</v>
      </c>
      <c r="U21" s="70">
        <v>2405.6999999999998</v>
      </c>
      <c r="V21" s="61"/>
      <c r="W21" s="71">
        <v>4.7999999999999996E-3</v>
      </c>
      <c r="X21" s="64"/>
      <c r="Y21" s="64"/>
      <c r="Z21" s="69">
        <v>42741</v>
      </c>
      <c r="AA21" s="72">
        <v>80200</v>
      </c>
      <c r="AB21" s="72">
        <v>81856</v>
      </c>
      <c r="AC21" s="72">
        <v>83512</v>
      </c>
      <c r="AD21" s="72">
        <v>79704</v>
      </c>
      <c r="AE21" s="61"/>
      <c r="AF21" s="71">
        <v>-1.95E-2</v>
      </c>
      <c r="AG21" s="64"/>
      <c r="AH21" s="69">
        <v>42741</v>
      </c>
      <c r="AI21" s="72">
        <v>1241.2</v>
      </c>
      <c r="AJ21" s="72">
        <v>1268.9000000000001</v>
      </c>
      <c r="AK21" s="72">
        <v>1296.26</v>
      </c>
      <c r="AL21" s="72">
        <v>1236.78</v>
      </c>
      <c r="AM21" s="61"/>
      <c r="AN21" s="71">
        <v>-2.12E-2</v>
      </c>
      <c r="AQ21" s="77" t="s">
        <v>2827</v>
      </c>
      <c r="AR21" s="78">
        <v>105.28</v>
      </c>
      <c r="AS21" s="78">
        <v>104.92</v>
      </c>
      <c r="AT21" s="78">
        <v>105.12</v>
      </c>
      <c r="AU21" s="78">
        <v>3.74</v>
      </c>
      <c r="AV21" s="78">
        <v>3.16</v>
      </c>
      <c r="AW21" s="78">
        <v>3.48</v>
      </c>
      <c r="AY21" s="60">
        <v>42948</v>
      </c>
      <c r="AZ21" s="61">
        <v>2017</v>
      </c>
      <c r="BA21" s="61">
        <v>8</v>
      </c>
      <c r="BB21" s="62">
        <v>71.3</v>
      </c>
      <c r="BC21" s="61">
        <v>72</v>
      </c>
      <c r="BD21" s="61">
        <v>70.599999999999994</v>
      </c>
      <c r="BE21" s="62">
        <v>3.28</v>
      </c>
      <c r="BF21" s="62">
        <v>3.22</v>
      </c>
      <c r="BG21" s="62">
        <v>3.35</v>
      </c>
      <c r="BI21" s="3">
        <v>42948</v>
      </c>
      <c r="BJ21" s="4">
        <v>63.968299999999999</v>
      </c>
    </row>
    <row r="22" spans="1:62" x14ac:dyDescent="0.25">
      <c r="A22" s="65">
        <v>42397</v>
      </c>
      <c r="B22" s="66">
        <v>7424.65</v>
      </c>
      <c r="C22" s="66">
        <v>7426.5</v>
      </c>
      <c r="D22" s="66">
        <v>7468.85</v>
      </c>
      <c r="E22" s="66">
        <v>7409.6</v>
      </c>
      <c r="F22" s="67" t="s">
        <v>2657</v>
      </c>
      <c r="G22" s="68">
        <v>-1.8E-3</v>
      </c>
      <c r="H22" s="64"/>
      <c r="I22" s="69">
        <v>42742</v>
      </c>
      <c r="J22" s="70">
        <v>10077.1</v>
      </c>
      <c r="K22" s="70">
        <v>9587.9500000000007</v>
      </c>
      <c r="L22" s="70">
        <v>10114.85</v>
      </c>
      <c r="M22" s="70">
        <v>9543.5499999999993</v>
      </c>
      <c r="N22" s="61" t="s">
        <v>2777</v>
      </c>
      <c r="O22" s="71">
        <v>5.8400000000000001E-2</v>
      </c>
      <c r="P22" s="64"/>
      <c r="Q22" s="69">
        <v>42742</v>
      </c>
      <c r="R22" s="70">
        <v>2470.3000000000002</v>
      </c>
      <c r="S22" s="70">
        <v>2431.39</v>
      </c>
      <c r="T22" s="70">
        <v>2484.04</v>
      </c>
      <c r="U22" s="70">
        <v>2407.6999999999998</v>
      </c>
      <c r="V22" s="61"/>
      <c r="W22" s="71">
        <v>1.9300000000000001E-2</v>
      </c>
      <c r="X22" s="64"/>
      <c r="Y22" s="64"/>
      <c r="Z22" s="69">
        <v>42742</v>
      </c>
      <c r="AA22" s="72">
        <v>81442</v>
      </c>
      <c r="AB22" s="72">
        <v>80242</v>
      </c>
      <c r="AC22" s="72">
        <v>81554</v>
      </c>
      <c r="AD22" s="72">
        <v>77754</v>
      </c>
      <c r="AE22" s="61"/>
      <c r="AF22" s="71">
        <v>1.55E-2</v>
      </c>
      <c r="AG22" s="64"/>
      <c r="AH22" s="69">
        <v>42742</v>
      </c>
      <c r="AI22" s="72">
        <v>1269.05</v>
      </c>
      <c r="AJ22" s="72">
        <v>1241.76</v>
      </c>
      <c r="AK22" s="72">
        <v>1271.29</v>
      </c>
      <c r="AL22" s="72">
        <v>1204.73</v>
      </c>
      <c r="AM22" s="61"/>
      <c r="AN22" s="71">
        <v>2.24E-2</v>
      </c>
      <c r="AQ22" s="77" t="s">
        <v>2828</v>
      </c>
      <c r="AR22" s="78">
        <v>106.11</v>
      </c>
      <c r="AS22" s="78">
        <v>105.66</v>
      </c>
      <c r="AT22" s="78">
        <v>105.91</v>
      </c>
      <c r="AU22" s="78">
        <v>4.25</v>
      </c>
      <c r="AV22" s="78">
        <v>3.53</v>
      </c>
      <c r="AW22" s="78">
        <v>3.93</v>
      </c>
      <c r="AY22" s="60">
        <v>42979</v>
      </c>
      <c r="AZ22" s="61">
        <v>2017</v>
      </c>
      <c r="BA22" s="61">
        <v>9</v>
      </c>
      <c r="BB22" s="62">
        <v>71.2</v>
      </c>
      <c r="BC22" s="61">
        <v>71.900000000000006</v>
      </c>
      <c r="BD22" s="61">
        <v>70.400000000000006</v>
      </c>
      <c r="BE22" s="62">
        <v>3.28</v>
      </c>
      <c r="BF22" s="62">
        <v>3.15</v>
      </c>
      <c r="BG22" s="62">
        <v>3.44</v>
      </c>
      <c r="BI22" s="3">
        <v>42979</v>
      </c>
      <c r="BJ22" s="4">
        <v>64.477500000000006</v>
      </c>
    </row>
    <row r="23" spans="1:62" x14ac:dyDescent="0.25">
      <c r="A23" s="65">
        <v>42398</v>
      </c>
      <c r="B23" s="66">
        <v>7563.55</v>
      </c>
      <c r="C23" s="66">
        <v>7413.35</v>
      </c>
      <c r="D23" s="66">
        <v>7575.65</v>
      </c>
      <c r="E23" s="66">
        <v>7402.8</v>
      </c>
      <c r="F23" s="67" t="s">
        <v>1352</v>
      </c>
      <c r="G23" s="68">
        <v>1.8700000000000001E-2</v>
      </c>
      <c r="H23" s="64"/>
      <c r="I23" s="69">
        <v>42743</v>
      </c>
      <c r="J23" s="70">
        <v>9917.9</v>
      </c>
      <c r="K23" s="70">
        <v>10101.049999999999</v>
      </c>
      <c r="L23" s="70">
        <v>10137.85</v>
      </c>
      <c r="M23" s="70">
        <v>9685.5499999999993</v>
      </c>
      <c r="N23" s="61" t="s">
        <v>2776</v>
      </c>
      <c r="O23" s="71">
        <v>-1.5800000000000002E-2</v>
      </c>
      <c r="P23" s="64"/>
      <c r="Q23" s="69">
        <v>42743</v>
      </c>
      <c r="R23" s="70">
        <v>2471.65</v>
      </c>
      <c r="S23" s="70">
        <v>2477.1</v>
      </c>
      <c r="T23" s="70">
        <v>2490.87</v>
      </c>
      <c r="U23" s="70">
        <v>2417.35</v>
      </c>
      <c r="V23" s="61"/>
      <c r="W23" s="71">
        <v>5.0000000000000001E-4</v>
      </c>
      <c r="X23" s="64"/>
      <c r="Y23" s="64"/>
      <c r="Z23" s="69">
        <v>42743</v>
      </c>
      <c r="AA23" s="72">
        <v>84490</v>
      </c>
      <c r="AB23" s="72">
        <v>81505</v>
      </c>
      <c r="AC23" s="72">
        <v>84896</v>
      </c>
      <c r="AD23" s="72">
        <v>79702</v>
      </c>
      <c r="AE23" s="61"/>
      <c r="AF23" s="71">
        <v>3.7400000000000003E-2</v>
      </c>
      <c r="AG23" s="64"/>
      <c r="AH23" s="69">
        <v>42743</v>
      </c>
      <c r="AI23" s="72">
        <v>1321.6</v>
      </c>
      <c r="AJ23" s="72">
        <v>1269.05</v>
      </c>
      <c r="AK23" s="72">
        <v>1326.19</v>
      </c>
      <c r="AL23" s="72">
        <v>1251.3599999999999</v>
      </c>
      <c r="AM23" s="61"/>
      <c r="AN23" s="71">
        <v>4.1399999999999999E-2</v>
      </c>
      <c r="AQ23" s="77" t="s">
        <v>2829</v>
      </c>
      <c r="AR23" s="78">
        <v>107.24</v>
      </c>
      <c r="AS23" s="78">
        <v>106.69</v>
      </c>
      <c r="AT23" s="78">
        <v>107</v>
      </c>
      <c r="AU23" s="78">
        <v>4.74</v>
      </c>
      <c r="AV23" s="78">
        <v>3.92</v>
      </c>
      <c r="AW23" s="78">
        <v>4.38</v>
      </c>
      <c r="AY23" s="60">
        <v>43009</v>
      </c>
      <c r="AZ23" s="61">
        <v>2017</v>
      </c>
      <c r="BA23" s="61">
        <v>10</v>
      </c>
      <c r="BB23" s="62">
        <v>71.7</v>
      </c>
      <c r="BC23" s="61">
        <v>72.2</v>
      </c>
      <c r="BD23" s="61">
        <v>71</v>
      </c>
      <c r="BE23" s="62">
        <v>3.58</v>
      </c>
      <c r="BF23" s="62">
        <v>3.36</v>
      </c>
      <c r="BG23" s="62">
        <v>3.81</v>
      </c>
      <c r="BI23" s="3">
        <v>43009</v>
      </c>
      <c r="BJ23" s="4">
        <v>65.035700000000006</v>
      </c>
    </row>
    <row r="24" spans="1:62" x14ac:dyDescent="0.25">
      <c r="A24" s="65">
        <v>42401</v>
      </c>
      <c r="B24" s="66">
        <v>7555.95</v>
      </c>
      <c r="C24" s="66">
        <v>7589.5</v>
      </c>
      <c r="D24" s="66">
        <v>7600.45</v>
      </c>
      <c r="E24" s="66">
        <v>7541.25</v>
      </c>
      <c r="F24" s="67" t="s">
        <v>2656</v>
      </c>
      <c r="G24" s="68">
        <v>-1E-3</v>
      </c>
      <c r="H24" s="64"/>
      <c r="I24" s="69">
        <v>42744</v>
      </c>
      <c r="J24" s="70">
        <v>9788.6</v>
      </c>
      <c r="K24" s="70">
        <v>9937.65</v>
      </c>
      <c r="L24" s="70">
        <v>10178.950000000001</v>
      </c>
      <c r="M24" s="70">
        <v>9687.5499999999993</v>
      </c>
      <c r="N24" s="61" t="s">
        <v>2775</v>
      </c>
      <c r="O24" s="71">
        <v>-1.2999999999999999E-2</v>
      </c>
      <c r="P24" s="64"/>
      <c r="Q24" s="69">
        <v>42744</v>
      </c>
      <c r="R24" s="70">
        <v>2519.36</v>
      </c>
      <c r="S24" s="70">
        <v>2474.42</v>
      </c>
      <c r="T24" s="70">
        <v>2519.44</v>
      </c>
      <c r="U24" s="70">
        <v>2446.5500000000002</v>
      </c>
      <c r="V24" s="61"/>
      <c r="W24" s="71">
        <v>1.9300000000000001E-2</v>
      </c>
      <c r="X24" s="64"/>
      <c r="Y24" s="64"/>
      <c r="Z24" s="69">
        <v>42744</v>
      </c>
      <c r="AA24" s="72">
        <v>83529</v>
      </c>
      <c r="AB24" s="72">
        <v>84524</v>
      </c>
      <c r="AC24" s="72">
        <v>86750</v>
      </c>
      <c r="AD24" s="72">
        <v>83314</v>
      </c>
      <c r="AE24" s="61"/>
      <c r="AF24" s="71">
        <v>-1.14E-2</v>
      </c>
      <c r="AG24" s="64"/>
      <c r="AH24" s="69">
        <v>42744</v>
      </c>
      <c r="AI24" s="72">
        <v>1279.0999999999999</v>
      </c>
      <c r="AJ24" s="72">
        <v>1322.03</v>
      </c>
      <c r="AK24" s="72">
        <v>1357.74</v>
      </c>
      <c r="AL24" s="72">
        <v>1277.5999999999999</v>
      </c>
      <c r="AM24" s="61"/>
      <c r="AN24" s="71">
        <v>-3.2199999999999999E-2</v>
      </c>
      <c r="AQ24" s="77" t="s">
        <v>2830</v>
      </c>
      <c r="AR24" s="78">
        <v>108.34</v>
      </c>
      <c r="AS24" s="78">
        <v>107.45</v>
      </c>
      <c r="AT24" s="78">
        <v>107.95</v>
      </c>
      <c r="AU24" s="78">
        <v>4.84</v>
      </c>
      <c r="AV24" s="78">
        <v>3.96</v>
      </c>
      <c r="AW24" s="78">
        <v>4.45</v>
      </c>
      <c r="AY24" s="60">
        <v>43040</v>
      </c>
      <c r="AZ24" s="61">
        <v>2017</v>
      </c>
      <c r="BA24" s="61">
        <v>11</v>
      </c>
      <c r="BB24" s="62">
        <v>72.5</v>
      </c>
      <c r="BC24" s="61">
        <v>73.099999999999994</v>
      </c>
      <c r="BD24" s="61">
        <v>71.7</v>
      </c>
      <c r="BE24" s="62">
        <v>4.88</v>
      </c>
      <c r="BF24" s="62">
        <v>4.79</v>
      </c>
      <c r="BG24" s="62">
        <v>4.9000000000000004</v>
      </c>
      <c r="BI24" s="3">
        <v>43040</v>
      </c>
      <c r="BJ24" s="4">
        <v>64.843500000000006</v>
      </c>
    </row>
    <row r="25" spans="1:62" x14ac:dyDescent="0.25">
      <c r="A25" s="65">
        <v>42402</v>
      </c>
      <c r="B25" s="66">
        <v>7455.55</v>
      </c>
      <c r="C25" s="66">
        <v>7566.65</v>
      </c>
      <c r="D25" s="66">
        <v>7576.3</v>
      </c>
      <c r="E25" s="66">
        <v>7428.05</v>
      </c>
      <c r="F25" s="67" t="s">
        <v>2655</v>
      </c>
      <c r="G25" s="68">
        <v>-1.3299999999999999E-2</v>
      </c>
      <c r="H25" s="64"/>
      <c r="I25" s="69">
        <v>42745</v>
      </c>
      <c r="J25" s="70">
        <v>10335.299999999999</v>
      </c>
      <c r="K25" s="70">
        <v>9893.2999999999993</v>
      </c>
      <c r="L25" s="70">
        <v>10384.5</v>
      </c>
      <c r="M25" s="70">
        <v>9831.0499999999993</v>
      </c>
      <c r="N25" s="61" t="s">
        <v>2774</v>
      </c>
      <c r="O25" s="71">
        <v>5.5899999999999998E-2</v>
      </c>
      <c r="P25" s="64"/>
      <c r="Q25" s="69">
        <v>42745</v>
      </c>
      <c r="R25" s="70">
        <v>2575.2600000000002</v>
      </c>
      <c r="S25" s="70">
        <v>2521.1999999999998</v>
      </c>
      <c r="T25" s="70">
        <v>2582.98</v>
      </c>
      <c r="U25" s="70">
        <v>2520.4</v>
      </c>
      <c r="V25" s="61"/>
      <c r="W25" s="71">
        <v>2.2200000000000001E-2</v>
      </c>
      <c r="X25" s="64"/>
      <c r="Y25" s="64"/>
      <c r="Z25" s="69">
        <v>42745</v>
      </c>
      <c r="AA25" s="72">
        <v>82297</v>
      </c>
      <c r="AB25" s="72">
        <v>83545</v>
      </c>
      <c r="AC25" s="72">
        <v>84587</v>
      </c>
      <c r="AD25" s="72">
        <v>82046</v>
      </c>
      <c r="AE25" s="61"/>
      <c r="AF25" s="71">
        <v>-1.47E-2</v>
      </c>
      <c r="AG25" s="64"/>
      <c r="AH25" s="69">
        <v>42745</v>
      </c>
      <c r="AI25" s="72">
        <v>1271.2</v>
      </c>
      <c r="AJ25" s="72">
        <v>1279.2</v>
      </c>
      <c r="AK25" s="72">
        <v>1306.46</v>
      </c>
      <c r="AL25" s="72">
        <v>1260.51</v>
      </c>
      <c r="AM25" s="61"/>
      <c r="AN25" s="71">
        <v>-6.1999999999999998E-3</v>
      </c>
      <c r="AQ25" s="77" t="s">
        <v>2831</v>
      </c>
      <c r="AR25" s="78">
        <v>109.27</v>
      </c>
      <c r="AS25" s="78">
        <v>108.07</v>
      </c>
      <c r="AT25" s="78">
        <v>108.74</v>
      </c>
      <c r="AU25" s="78">
        <v>5.23</v>
      </c>
      <c r="AV25" s="78">
        <v>4.3099999999999996</v>
      </c>
      <c r="AW25" s="78">
        <v>4.82</v>
      </c>
      <c r="AY25" s="60">
        <v>43070</v>
      </c>
      <c r="AZ25" s="61">
        <v>2017</v>
      </c>
      <c r="BA25" s="61">
        <v>12</v>
      </c>
      <c r="BB25" s="62">
        <v>72.3</v>
      </c>
      <c r="BC25" s="61">
        <v>73</v>
      </c>
      <c r="BD25" s="61">
        <v>71.3</v>
      </c>
      <c r="BE25" s="62">
        <v>5.21</v>
      </c>
      <c r="BF25" s="62">
        <v>5.27</v>
      </c>
      <c r="BG25" s="62">
        <v>5.09</v>
      </c>
      <c r="BI25" s="3">
        <v>43070</v>
      </c>
      <c r="BJ25" s="4">
        <v>64.244500000000002</v>
      </c>
    </row>
    <row r="26" spans="1:62" x14ac:dyDescent="0.25">
      <c r="A26" s="65">
        <v>42403</v>
      </c>
      <c r="B26" s="66">
        <v>7361.8</v>
      </c>
      <c r="C26" s="66">
        <v>7392.45</v>
      </c>
      <c r="D26" s="66">
        <v>7419.4</v>
      </c>
      <c r="E26" s="66">
        <v>7350.3</v>
      </c>
      <c r="F26" s="67" t="s">
        <v>2654</v>
      </c>
      <c r="G26" s="68">
        <v>-1.26E-2</v>
      </c>
      <c r="H26" s="64"/>
      <c r="I26" s="69">
        <v>42746</v>
      </c>
      <c r="J26" s="70">
        <v>10226.549999999999</v>
      </c>
      <c r="K26" s="70">
        <v>10390.35</v>
      </c>
      <c r="L26" s="70">
        <v>10490.45</v>
      </c>
      <c r="M26" s="70">
        <v>10094</v>
      </c>
      <c r="N26" s="61" t="s">
        <v>2773</v>
      </c>
      <c r="O26" s="71">
        <v>-1.0500000000000001E-2</v>
      </c>
      <c r="P26" s="64"/>
      <c r="Q26" s="69">
        <v>42746</v>
      </c>
      <c r="R26" s="70">
        <v>2647.58</v>
      </c>
      <c r="S26" s="70">
        <v>2583.21</v>
      </c>
      <c r="T26" s="70">
        <v>2657.74</v>
      </c>
      <c r="U26" s="70">
        <v>2557.4499999999998</v>
      </c>
      <c r="V26" s="61"/>
      <c r="W26" s="71">
        <v>2.81E-2</v>
      </c>
      <c r="X26" s="64"/>
      <c r="Y26" s="64"/>
      <c r="Z26" s="69">
        <v>42746</v>
      </c>
      <c r="AA26" s="72">
        <v>82175</v>
      </c>
      <c r="AB26" s="72">
        <v>82293</v>
      </c>
      <c r="AC26" s="72">
        <v>84349</v>
      </c>
      <c r="AD26" s="72">
        <v>81713</v>
      </c>
      <c r="AE26" s="61"/>
      <c r="AF26" s="71">
        <v>-1.5E-3</v>
      </c>
      <c r="AG26" s="64"/>
      <c r="AH26" s="69">
        <v>42746</v>
      </c>
      <c r="AI26" s="72">
        <v>1274.3599999999999</v>
      </c>
      <c r="AJ26" s="72">
        <v>1270.94</v>
      </c>
      <c r="AK26" s="72">
        <v>1299.44</v>
      </c>
      <c r="AL26" s="72">
        <v>1265.49</v>
      </c>
      <c r="AM26" s="61"/>
      <c r="AN26" s="71">
        <v>2.5000000000000001E-3</v>
      </c>
      <c r="AQ26" s="117" t="s">
        <v>2832</v>
      </c>
      <c r="AR26" s="117"/>
      <c r="AS26" s="117"/>
      <c r="AT26" s="117"/>
      <c r="AU26" s="117"/>
      <c r="AV26" s="117"/>
      <c r="AY26" s="60">
        <v>43101</v>
      </c>
      <c r="AZ26" s="61">
        <v>2018</v>
      </c>
      <c r="BA26" s="61">
        <v>1</v>
      </c>
      <c r="BB26" s="62">
        <v>72.099999999999994</v>
      </c>
      <c r="BC26" s="61">
        <v>72.7</v>
      </c>
      <c r="BD26" s="61">
        <v>71.3</v>
      </c>
      <c r="BE26" s="62">
        <v>5.07</v>
      </c>
      <c r="BF26" s="62">
        <v>5.21</v>
      </c>
      <c r="BG26" s="62">
        <v>4.93</v>
      </c>
      <c r="BI26" s="3">
        <v>43101</v>
      </c>
      <c r="BJ26" s="4">
        <v>63.645200000000003</v>
      </c>
    </row>
    <row r="27" spans="1:62" x14ac:dyDescent="0.25">
      <c r="A27" s="65">
        <v>42404</v>
      </c>
      <c r="B27" s="66">
        <v>7404</v>
      </c>
      <c r="C27" s="66">
        <v>7411.45</v>
      </c>
      <c r="D27" s="66">
        <v>7457.05</v>
      </c>
      <c r="E27" s="66">
        <v>7365.95</v>
      </c>
      <c r="F27" s="67" t="s">
        <v>2653</v>
      </c>
      <c r="G27" s="68">
        <v>5.7000000000000002E-3</v>
      </c>
      <c r="H27" s="64"/>
      <c r="I27" s="69">
        <v>42747</v>
      </c>
      <c r="J27" s="70">
        <v>10530.7</v>
      </c>
      <c r="K27" s="70">
        <v>10263.700000000001</v>
      </c>
      <c r="L27" s="70">
        <v>10552.4</v>
      </c>
      <c r="M27" s="70">
        <v>10033.35</v>
      </c>
      <c r="N27" s="61" t="s">
        <v>2772</v>
      </c>
      <c r="O27" s="71">
        <v>2.9700000000000001E-2</v>
      </c>
      <c r="P27" s="64"/>
      <c r="Q27" s="69">
        <v>42747</v>
      </c>
      <c r="R27" s="70">
        <v>2673.61</v>
      </c>
      <c r="S27" s="70">
        <v>2645.1</v>
      </c>
      <c r="T27" s="70">
        <v>2694.97</v>
      </c>
      <c r="U27" s="70">
        <v>2605.52</v>
      </c>
      <c r="V27" s="61"/>
      <c r="W27" s="71">
        <v>9.7999999999999997E-3</v>
      </c>
      <c r="X27" s="64"/>
      <c r="Y27" s="64"/>
      <c r="Z27" s="69">
        <v>42747</v>
      </c>
      <c r="AA27" s="72">
        <v>83135</v>
      </c>
      <c r="AB27" s="72">
        <v>82197</v>
      </c>
      <c r="AC27" s="72">
        <v>83501</v>
      </c>
      <c r="AD27" s="72">
        <v>79613</v>
      </c>
      <c r="AE27" s="61"/>
      <c r="AF27" s="71">
        <v>1.17E-2</v>
      </c>
      <c r="AG27" s="64"/>
      <c r="AH27" s="69">
        <v>42747</v>
      </c>
      <c r="AI27" s="72">
        <v>1302.45</v>
      </c>
      <c r="AJ27" s="72">
        <v>1274.5899999999999</v>
      </c>
      <c r="AK27" s="72">
        <v>1307.97</v>
      </c>
      <c r="AL27" s="72">
        <v>1236.27</v>
      </c>
      <c r="AM27" s="61"/>
      <c r="AN27" s="71">
        <v>2.1999999999999999E-2</v>
      </c>
      <c r="AY27" s="60">
        <v>43132</v>
      </c>
      <c r="AZ27" s="61">
        <v>2018</v>
      </c>
      <c r="BA27" s="61">
        <v>2</v>
      </c>
      <c r="BB27" s="62">
        <v>71.8</v>
      </c>
      <c r="BC27" s="61">
        <v>72.3</v>
      </c>
      <c r="BD27" s="61">
        <v>71.3</v>
      </c>
      <c r="BE27" s="62">
        <v>4.4400000000000004</v>
      </c>
      <c r="BF27" s="62">
        <v>4.45</v>
      </c>
      <c r="BG27" s="62">
        <v>4.5199999999999996</v>
      </c>
      <c r="BI27" s="3">
        <v>43132</v>
      </c>
      <c r="BJ27" s="4">
        <v>64.430000000000007</v>
      </c>
    </row>
    <row r="28" spans="1:62" x14ac:dyDescent="0.25">
      <c r="A28" s="65">
        <v>42405</v>
      </c>
      <c r="B28" s="66">
        <v>7489.1</v>
      </c>
      <c r="C28" s="66">
        <v>7418.25</v>
      </c>
      <c r="D28" s="66">
        <v>7503.15</v>
      </c>
      <c r="E28" s="66">
        <v>7406.65</v>
      </c>
      <c r="F28" s="67" t="s">
        <v>2652</v>
      </c>
      <c r="G28" s="68">
        <v>1.15E-2</v>
      </c>
      <c r="H28" s="64"/>
      <c r="I28" s="69">
        <v>43101</v>
      </c>
      <c r="J28" s="70">
        <v>11027.7</v>
      </c>
      <c r="K28" s="70">
        <v>10531.7</v>
      </c>
      <c r="L28" s="70">
        <v>11171.55</v>
      </c>
      <c r="M28" s="70">
        <v>10404.65</v>
      </c>
      <c r="N28" s="61" t="s">
        <v>2771</v>
      </c>
      <c r="O28" s="71">
        <v>4.7199999999999999E-2</v>
      </c>
      <c r="P28" s="64"/>
      <c r="Q28" s="69">
        <v>43101</v>
      </c>
      <c r="R28" s="70">
        <v>2823.81</v>
      </c>
      <c r="S28" s="70">
        <v>2683.73</v>
      </c>
      <c r="T28" s="70">
        <v>2872.87</v>
      </c>
      <c r="U28" s="70">
        <v>2682.36</v>
      </c>
      <c r="V28" s="61"/>
      <c r="W28" s="71">
        <v>5.62E-2</v>
      </c>
      <c r="X28" s="64"/>
      <c r="Y28" s="64"/>
      <c r="Z28" s="69">
        <v>43101</v>
      </c>
      <c r="AA28" s="72">
        <v>85436</v>
      </c>
      <c r="AB28" s="72">
        <v>83174</v>
      </c>
      <c r="AC28" s="72">
        <v>86753</v>
      </c>
      <c r="AD28" s="72">
        <v>82887</v>
      </c>
      <c r="AE28" s="61"/>
      <c r="AF28" s="71">
        <v>2.7699999999999999E-2</v>
      </c>
      <c r="AG28" s="64"/>
      <c r="AH28" s="69">
        <v>43101</v>
      </c>
      <c r="AI28" s="72">
        <v>1344.7</v>
      </c>
      <c r="AJ28" s="72">
        <v>1302.6199999999999</v>
      </c>
      <c r="AK28" s="72">
        <v>1366.26</v>
      </c>
      <c r="AL28" s="72">
        <v>1302.5999999999999</v>
      </c>
      <c r="AM28" s="61"/>
      <c r="AN28" s="71">
        <v>3.2399999999999998E-2</v>
      </c>
      <c r="AY28" s="60">
        <v>43160</v>
      </c>
      <c r="AZ28" s="61">
        <v>2018</v>
      </c>
      <c r="BA28" s="61">
        <v>3</v>
      </c>
      <c r="BB28" s="62">
        <v>71.900000000000006</v>
      </c>
      <c r="BC28" s="61">
        <v>72.400000000000006</v>
      </c>
      <c r="BD28" s="61">
        <v>71.3</v>
      </c>
      <c r="BE28" s="62">
        <v>4.28</v>
      </c>
      <c r="BF28" s="62">
        <v>4.4400000000000004</v>
      </c>
      <c r="BG28" s="62">
        <v>4.12</v>
      </c>
      <c r="BI28" s="3">
        <v>43160</v>
      </c>
      <c r="BJ28" s="4">
        <v>65.045500000000004</v>
      </c>
    </row>
    <row r="29" spans="1:62" x14ac:dyDescent="0.25">
      <c r="A29" s="65">
        <v>42408</v>
      </c>
      <c r="B29" s="66">
        <v>7387.25</v>
      </c>
      <c r="C29" s="66">
        <v>7489.7</v>
      </c>
      <c r="D29" s="66">
        <v>7512.55</v>
      </c>
      <c r="E29" s="66">
        <v>7363.2</v>
      </c>
      <c r="F29" s="67" t="s">
        <v>2651</v>
      </c>
      <c r="G29" s="68">
        <v>-1.3599999999999999E-2</v>
      </c>
      <c r="H29" s="64"/>
      <c r="I29" s="69">
        <v>43102</v>
      </c>
      <c r="J29" s="70">
        <v>10492.85</v>
      </c>
      <c r="K29" s="70">
        <v>11044.55</v>
      </c>
      <c r="L29" s="70">
        <v>11117.35</v>
      </c>
      <c r="M29" s="70">
        <v>10276.299999999999</v>
      </c>
      <c r="N29" s="61" t="s">
        <v>2770</v>
      </c>
      <c r="O29" s="71">
        <v>-4.8500000000000001E-2</v>
      </c>
      <c r="P29" s="64"/>
      <c r="Q29" s="69">
        <v>43102</v>
      </c>
      <c r="R29" s="70">
        <v>2713.83</v>
      </c>
      <c r="S29" s="70">
        <v>2816.45</v>
      </c>
      <c r="T29" s="70">
        <v>2835.96</v>
      </c>
      <c r="U29" s="70">
        <v>2532.69</v>
      </c>
      <c r="V29" s="61"/>
      <c r="W29" s="71">
        <v>-3.8899999999999997E-2</v>
      </c>
      <c r="X29" s="64"/>
      <c r="Y29" s="64"/>
      <c r="Z29" s="69">
        <v>43102</v>
      </c>
      <c r="AA29" s="72">
        <v>85917</v>
      </c>
      <c r="AB29" s="72">
        <v>85475</v>
      </c>
      <c r="AC29" s="72">
        <v>87307</v>
      </c>
      <c r="AD29" s="72">
        <v>83987</v>
      </c>
      <c r="AE29" s="61"/>
      <c r="AF29" s="71">
        <v>5.5999999999999999E-3</v>
      </c>
      <c r="AG29" s="64"/>
      <c r="AH29" s="69">
        <v>43102</v>
      </c>
      <c r="AI29" s="72">
        <v>1317.66</v>
      </c>
      <c r="AJ29" s="72">
        <v>1345.08</v>
      </c>
      <c r="AK29" s="72">
        <v>1361.97</v>
      </c>
      <c r="AL29" s="72">
        <v>1306.99</v>
      </c>
      <c r="AM29" s="61"/>
      <c r="AN29" s="71">
        <v>-2.01E-2</v>
      </c>
      <c r="AY29" s="60">
        <v>43191</v>
      </c>
      <c r="AZ29" s="61">
        <v>2018</v>
      </c>
      <c r="BA29" s="61">
        <v>4</v>
      </c>
      <c r="BB29" s="62">
        <v>72.2</v>
      </c>
      <c r="BC29" s="61">
        <v>72.599999999999994</v>
      </c>
      <c r="BD29" s="61">
        <v>71.7</v>
      </c>
      <c r="BE29" s="62">
        <v>4.58</v>
      </c>
      <c r="BF29" s="62">
        <v>4.67</v>
      </c>
      <c r="BG29" s="62">
        <v>4.42</v>
      </c>
      <c r="BI29" s="3">
        <v>43191</v>
      </c>
      <c r="BJ29" s="4">
        <v>65.672899999999998</v>
      </c>
    </row>
    <row r="30" spans="1:62" x14ac:dyDescent="0.25">
      <c r="A30" s="65">
        <v>42409</v>
      </c>
      <c r="B30" s="66">
        <v>7298.2</v>
      </c>
      <c r="C30" s="66">
        <v>7303.95</v>
      </c>
      <c r="D30" s="66">
        <v>7323.45</v>
      </c>
      <c r="E30" s="66">
        <v>7275.15</v>
      </c>
      <c r="F30" s="67" t="s">
        <v>2650</v>
      </c>
      <c r="G30" s="68">
        <v>-1.21E-2</v>
      </c>
      <c r="H30" s="64"/>
      <c r="I30" s="69">
        <v>43103</v>
      </c>
      <c r="J30" s="70">
        <v>10113.700000000001</v>
      </c>
      <c r="K30" s="70">
        <v>10479.950000000001</v>
      </c>
      <c r="L30" s="70">
        <v>10525.5</v>
      </c>
      <c r="M30" s="70">
        <v>9951.9</v>
      </c>
      <c r="N30" s="61" t="s">
        <v>2769</v>
      </c>
      <c r="O30" s="71">
        <v>-3.61E-2</v>
      </c>
      <c r="P30" s="64"/>
      <c r="Q30" s="69">
        <v>43103</v>
      </c>
      <c r="R30" s="70">
        <v>2640.87</v>
      </c>
      <c r="S30" s="70">
        <v>2715.22</v>
      </c>
      <c r="T30" s="70">
        <v>2801.9</v>
      </c>
      <c r="U30" s="70">
        <v>2585.89</v>
      </c>
      <c r="V30" s="61"/>
      <c r="W30" s="71">
        <v>-2.69E-2</v>
      </c>
      <c r="X30" s="64"/>
      <c r="Y30" s="64"/>
      <c r="Z30" s="69">
        <v>43103</v>
      </c>
      <c r="AA30" s="72">
        <v>86206</v>
      </c>
      <c r="AB30" s="72">
        <v>85957</v>
      </c>
      <c r="AC30" s="72">
        <v>87968</v>
      </c>
      <c r="AD30" s="72">
        <v>84907</v>
      </c>
      <c r="AE30" s="61"/>
      <c r="AF30" s="71">
        <v>3.3999999999999998E-3</v>
      </c>
      <c r="AG30" s="64"/>
      <c r="AH30" s="69">
        <v>43103</v>
      </c>
      <c r="AI30" s="72">
        <v>1324</v>
      </c>
      <c r="AJ30" s="72">
        <v>1318.22</v>
      </c>
      <c r="AK30" s="72">
        <v>1356.87</v>
      </c>
      <c r="AL30" s="72">
        <v>1302.76</v>
      </c>
      <c r="AM30" s="61"/>
      <c r="AN30" s="71">
        <v>4.7999999999999996E-3</v>
      </c>
      <c r="AY30" s="60">
        <v>43221</v>
      </c>
      <c r="AZ30" s="61">
        <v>2018</v>
      </c>
      <c r="BA30" s="61">
        <v>5</v>
      </c>
      <c r="BB30" s="62">
        <v>72.599999999999994</v>
      </c>
      <c r="BC30" s="61">
        <v>73</v>
      </c>
      <c r="BD30" s="61">
        <v>72</v>
      </c>
      <c r="BE30" s="62">
        <v>4.87</v>
      </c>
      <c r="BF30" s="62">
        <v>4.88</v>
      </c>
      <c r="BG30" s="62">
        <v>4.72</v>
      </c>
      <c r="BI30" s="3">
        <v>43221</v>
      </c>
      <c r="BJ30" s="4">
        <v>67.510000000000005</v>
      </c>
    </row>
    <row r="31" spans="1:62" x14ac:dyDescent="0.25">
      <c r="A31" s="65">
        <v>42410</v>
      </c>
      <c r="B31" s="66">
        <v>7215.7</v>
      </c>
      <c r="C31" s="66">
        <v>7264.3</v>
      </c>
      <c r="D31" s="66">
        <v>7271.85</v>
      </c>
      <c r="E31" s="66">
        <v>7177.75</v>
      </c>
      <c r="F31" s="67" t="s">
        <v>486</v>
      </c>
      <c r="G31" s="68">
        <v>-1.1299999999999999E-2</v>
      </c>
      <c r="H31" s="64"/>
      <c r="I31" s="69">
        <v>43104</v>
      </c>
      <c r="J31" s="70">
        <v>10739.35</v>
      </c>
      <c r="K31" s="70">
        <v>10151.65</v>
      </c>
      <c r="L31" s="70">
        <v>10759</v>
      </c>
      <c r="M31" s="70">
        <v>10111.299999999999</v>
      </c>
      <c r="N31" s="61" t="s">
        <v>2768</v>
      </c>
      <c r="O31" s="71">
        <v>6.1899999999999997E-2</v>
      </c>
      <c r="P31" s="64"/>
      <c r="Q31" s="69">
        <v>43104</v>
      </c>
      <c r="R31" s="70">
        <v>2648.05</v>
      </c>
      <c r="S31" s="70">
        <v>2633.45</v>
      </c>
      <c r="T31" s="70">
        <v>2717.49</v>
      </c>
      <c r="U31" s="70">
        <v>2553.8000000000002</v>
      </c>
      <c r="V31" s="61"/>
      <c r="W31" s="71">
        <v>2.7000000000000001E-3</v>
      </c>
      <c r="X31" s="64"/>
      <c r="Y31" s="64"/>
      <c r="Z31" s="69">
        <v>43104</v>
      </c>
      <c r="AA31" s="72">
        <v>87378</v>
      </c>
      <c r="AB31" s="72">
        <v>86356</v>
      </c>
      <c r="AC31" s="72">
        <v>89104</v>
      </c>
      <c r="AD31" s="72">
        <v>85848</v>
      </c>
      <c r="AE31" s="61"/>
      <c r="AF31" s="71">
        <v>1.3599999999999999E-2</v>
      </c>
      <c r="AG31" s="64"/>
      <c r="AH31" s="69">
        <v>43104</v>
      </c>
      <c r="AI31" s="72">
        <v>1314.95</v>
      </c>
      <c r="AJ31" s="72">
        <v>1326.21</v>
      </c>
      <c r="AK31" s="72">
        <v>1365.37</v>
      </c>
      <c r="AL31" s="72">
        <v>1310.29</v>
      </c>
      <c r="AM31" s="61"/>
      <c r="AN31" s="71">
        <v>-6.7999999999999996E-3</v>
      </c>
      <c r="AY31" s="60">
        <v>43252</v>
      </c>
      <c r="AZ31" s="61">
        <v>2018</v>
      </c>
      <c r="BA31" s="61">
        <v>6</v>
      </c>
      <c r="BB31" s="62">
        <v>72.900000000000006</v>
      </c>
      <c r="BC31" s="61">
        <v>73.400000000000006</v>
      </c>
      <c r="BD31" s="61">
        <v>72.5</v>
      </c>
      <c r="BE31" s="62">
        <v>4.92</v>
      </c>
      <c r="BF31" s="62">
        <v>4.93</v>
      </c>
      <c r="BG31" s="62">
        <v>4.8499999999999996</v>
      </c>
      <c r="BI31" s="3">
        <v>43252</v>
      </c>
      <c r="BJ31" s="4">
        <v>67.790000000000006</v>
      </c>
    </row>
    <row r="32" spans="1:62" x14ac:dyDescent="0.25">
      <c r="A32" s="65">
        <v>42411</v>
      </c>
      <c r="B32" s="66">
        <v>6976.35</v>
      </c>
      <c r="C32" s="66">
        <v>7203.6</v>
      </c>
      <c r="D32" s="66">
        <v>7208.65</v>
      </c>
      <c r="E32" s="66">
        <v>6959.95</v>
      </c>
      <c r="F32" s="67" t="s">
        <v>2649</v>
      </c>
      <c r="G32" s="68">
        <v>-3.32E-2</v>
      </c>
      <c r="H32" s="64"/>
      <c r="I32" s="69">
        <v>43105</v>
      </c>
      <c r="J32" s="70">
        <v>10736.15</v>
      </c>
      <c r="K32" s="70">
        <v>10783.85</v>
      </c>
      <c r="L32" s="70">
        <v>10929.2</v>
      </c>
      <c r="M32" s="70">
        <v>10417.799999999999</v>
      </c>
      <c r="N32" s="61" t="s">
        <v>2685</v>
      </c>
      <c r="O32" s="71">
        <v>-2.9999999999999997E-4</v>
      </c>
      <c r="P32" s="64"/>
      <c r="Q32" s="69">
        <v>43105</v>
      </c>
      <c r="R32" s="70">
        <v>2705.27</v>
      </c>
      <c r="S32" s="70">
        <v>2643.64</v>
      </c>
      <c r="T32" s="70">
        <v>2742.24</v>
      </c>
      <c r="U32" s="70">
        <v>2594.62</v>
      </c>
      <c r="V32" s="61"/>
      <c r="W32" s="71">
        <v>2.1600000000000001E-2</v>
      </c>
      <c r="X32" s="64"/>
      <c r="Y32" s="64"/>
      <c r="Z32" s="69">
        <v>43105</v>
      </c>
      <c r="AA32" s="72">
        <v>87477</v>
      </c>
      <c r="AB32" s="72">
        <v>87421</v>
      </c>
      <c r="AC32" s="72">
        <v>89357</v>
      </c>
      <c r="AD32" s="72">
        <v>86592</v>
      </c>
      <c r="AE32" s="61"/>
      <c r="AF32" s="71">
        <v>1.1000000000000001E-3</v>
      </c>
      <c r="AG32" s="64"/>
      <c r="AH32" s="69">
        <v>43105</v>
      </c>
      <c r="AI32" s="72">
        <v>1297.92</v>
      </c>
      <c r="AJ32" s="72">
        <v>1315.4</v>
      </c>
      <c r="AK32" s="72">
        <v>1326.17</v>
      </c>
      <c r="AL32" s="72">
        <v>1282</v>
      </c>
      <c r="AM32" s="61"/>
      <c r="AN32" s="71">
        <v>-1.2999999999999999E-2</v>
      </c>
      <c r="AY32" s="60">
        <v>43282</v>
      </c>
      <c r="AZ32" s="61">
        <v>2018</v>
      </c>
      <c r="BA32" s="61">
        <v>7</v>
      </c>
      <c r="BB32" s="62">
        <v>73.599999999999994</v>
      </c>
      <c r="BC32" s="61">
        <v>74</v>
      </c>
      <c r="BD32" s="61">
        <v>73.2</v>
      </c>
      <c r="BE32" s="62">
        <v>4.17</v>
      </c>
      <c r="BF32" s="62">
        <v>4.1100000000000003</v>
      </c>
      <c r="BG32" s="62">
        <v>4.32</v>
      </c>
      <c r="BI32" s="3">
        <v>43282</v>
      </c>
      <c r="BJ32" s="4">
        <v>68.686700000000002</v>
      </c>
    </row>
    <row r="33" spans="1:62" x14ac:dyDescent="0.25">
      <c r="A33" s="65">
        <v>42412</v>
      </c>
      <c r="B33" s="66">
        <v>6980.95</v>
      </c>
      <c r="C33" s="66">
        <v>7023.65</v>
      </c>
      <c r="D33" s="66">
        <v>7034.8</v>
      </c>
      <c r="E33" s="66">
        <v>6869</v>
      </c>
      <c r="F33" s="67" t="s">
        <v>2648</v>
      </c>
      <c r="G33" s="68">
        <v>6.9999999999999999E-4</v>
      </c>
      <c r="H33" s="64"/>
      <c r="I33" s="69">
        <v>43106</v>
      </c>
      <c r="J33" s="70">
        <v>10714.3</v>
      </c>
      <c r="K33" s="70">
        <v>10738.45</v>
      </c>
      <c r="L33" s="70">
        <v>10893.25</v>
      </c>
      <c r="M33" s="70">
        <v>10550.9</v>
      </c>
      <c r="N33" s="61" t="s">
        <v>2767</v>
      </c>
      <c r="O33" s="71">
        <v>-2E-3</v>
      </c>
      <c r="P33" s="64"/>
      <c r="Q33" s="69">
        <v>43106</v>
      </c>
      <c r="R33" s="70">
        <v>2718.37</v>
      </c>
      <c r="S33" s="70">
        <v>2718.7</v>
      </c>
      <c r="T33" s="70">
        <v>2791.47</v>
      </c>
      <c r="U33" s="70">
        <v>2691.99</v>
      </c>
      <c r="V33" s="61"/>
      <c r="W33" s="71">
        <v>4.7999999999999996E-3</v>
      </c>
      <c r="X33" s="64"/>
      <c r="Y33" s="64"/>
      <c r="Z33" s="69">
        <v>43106</v>
      </c>
      <c r="AA33" s="72">
        <v>85717</v>
      </c>
      <c r="AB33" s="72">
        <v>87562</v>
      </c>
      <c r="AC33" s="72">
        <v>88525</v>
      </c>
      <c r="AD33" s="72">
        <v>85404</v>
      </c>
      <c r="AE33" s="61"/>
      <c r="AF33" s="71">
        <v>-2.01E-2</v>
      </c>
      <c r="AG33" s="64"/>
      <c r="AH33" s="69">
        <v>43106</v>
      </c>
      <c r="AI33" s="72">
        <v>1252.25</v>
      </c>
      <c r="AJ33" s="72">
        <v>1298.79</v>
      </c>
      <c r="AK33" s="72">
        <v>1309.6400000000001</v>
      </c>
      <c r="AL33" s="72">
        <v>1245.67</v>
      </c>
      <c r="AM33" s="61"/>
      <c r="AN33" s="71">
        <v>-3.5200000000000002E-2</v>
      </c>
      <c r="AY33" s="60">
        <v>43313</v>
      </c>
      <c r="AZ33" s="61">
        <v>2018</v>
      </c>
      <c r="BA33" s="61">
        <v>8</v>
      </c>
      <c r="BB33" s="62">
        <v>73.900000000000006</v>
      </c>
      <c r="BC33" s="61">
        <v>74.400000000000006</v>
      </c>
      <c r="BD33" s="61">
        <v>73.400000000000006</v>
      </c>
      <c r="BE33" s="62">
        <v>3.69</v>
      </c>
      <c r="BF33" s="62">
        <v>3.41</v>
      </c>
      <c r="BG33" s="62">
        <v>3.99</v>
      </c>
      <c r="BI33" s="3">
        <v>43313</v>
      </c>
      <c r="BJ33" s="4">
        <v>69.631699999999995</v>
      </c>
    </row>
    <row r="34" spans="1:62" x14ac:dyDescent="0.25">
      <c r="A34" s="65">
        <v>42415</v>
      </c>
      <c r="B34" s="66">
        <v>7162.95</v>
      </c>
      <c r="C34" s="66">
        <v>7057.35</v>
      </c>
      <c r="D34" s="66">
        <v>7182.8</v>
      </c>
      <c r="E34" s="66">
        <v>7056.8</v>
      </c>
      <c r="F34" s="67" t="s">
        <v>2647</v>
      </c>
      <c r="G34" s="68">
        <v>2.6100000000000002E-2</v>
      </c>
      <c r="H34" s="64"/>
      <c r="I34" s="69">
        <v>43107</v>
      </c>
      <c r="J34" s="70">
        <v>11356.5</v>
      </c>
      <c r="K34" s="70">
        <v>10732.35</v>
      </c>
      <c r="L34" s="70">
        <v>11366</v>
      </c>
      <c r="M34" s="70">
        <v>10604.65</v>
      </c>
      <c r="N34" s="61" t="s">
        <v>2766</v>
      </c>
      <c r="O34" s="71">
        <v>5.9900000000000002E-2</v>
      </c>
      <c r="P34" s="64"/>
      <c r="Q34" s="69">
        <v>43107</v>
      </c>
      <c r="R34" s="70">
        <v>2816.29</v>
      </c>
      <c r="S34" s="70">
        <v>2704.95</v>
      </c>
      <c r="T34" s="70">
        <v>2848.03</v>
      </c>
      <c r="U34" s="70">
        <v>2698.95</v>
      </c>
      <c r="V34" s="61"/>
      <c r="W34" s="71">
        <v>3.5999999999999997E-2</v>
      </c>
      <c r="X34" s="64"/>
      <c r="Y34" s="64"/>
      <c r="Z34" s="69">
        <v>43107</v>
      </c>
      <c r="AA34" s="72">
        <v>83742</v>
      </c>
      <c r="AB34" s="72">
        <v>85814</v>
      </c>
      <c r="AC34" s="72">
        <v>87031</v>
      </c>
      <c r="AD34" s="72">
        <v>83265</v>
      </c>
      <c r="AE34" s="61"/>
      <c r="AF34" s="71">
        <v>-2.3E-2</v>
      </c>
      <c r="AG34" s="64"/>
      <c r="AH34" s="69">
        <v>43107</v>
      </c>
      <c r="AI34" s="72">
        <v>1223.4100000000001</v>
      </c>
      <c r="AJ34" s="72">
        <v>1253.49</v>
      </c>
      <c r="AK34" s="72">
        <v>1266.26</v>
      </c>
      <c r="AL34" s="72">
        <v>1211.48</v>
      </c>
      <c r="AM34" s="61"/>
      <c r="AN34" s="71">
        <v>-2.3E-2</v>
      </c>
      <c r="AY34" s="60">
        <v>43344</v>
      </c>
      <c r="AZ34" s="61">
        <v>2018</v>
      </c>
      <c r="BA34" s="61">
        <v>9</v>
      </c>
      <c r="BB34" s="62">
        <v>73.8</v>
      </c>
      <c r="BC34" s="61">
        <v>74.2</v>
      </c>
      <c r="BD34" s="61">
        <v>73.5</v>
      </c>
      <c r="BE34" s="62">
        <v>3.7</v>
      </c>
      <c r="BF34" s="62">
        <v>3.27</v>
      </c>
      <c r="BG34" s="62">
        <v>4.3099999999999996</v>
      </c>
      <c r="BI34" s="3">
        <v>43344</v>
      </c>
      <c r="BJ34" s="4">
        <v>72.277900000000002</v>
      </c>
    </row>
    <row r="35" spans="1:62" x14ac:dyDescent="0.25">
      <c r="A35" s="65">
        <v>42416</v>
      </c>
      <c r="B35" s="66">
        <v>7048.25</v>
      </c>
      <c r="C35" s="66">
        <v>7201.25</v>
      </c>
      <c r="D35" s="66">
        <v>7204.65</v>
      </c>
      <c r="E35" s="66">
        <v>7037.7</v>
      </c>
      <c r="F35" s="67" t="s">
        <v>2646</v>
      </c>
      <c r="G35" s="68">
        <v>-1.6E-2</v>
      </c>
      <c r="H35" s="64"/>
      <c r="I35" s="69">
        <v>43108</v>
      </c>
      <c r="J35" s="70">
        <v>11680.5</v>
      </c>
      <c r="K35" s="70">
        <v>11359.8</v>
      </c>
      <c r="L35" s="70">
        <v>11760.2</v>
      </c>
      <c r="M35" s="70">
        <v>11234.95</v>
      </c>
      <c r="N35" s="61" t="s">
        <v>2765</v>
      </c>
      <c r="O35" s="71">
        <v>2.8500000000000001E-2</v>
      </c>
      <c r="P35" s="64"/>
      <c r="Q35" s="69">
        <v>43108</v>
      </c>
      <c r="R35" s="70">
        <v>2901.52</v>
      </c>
      <c r="S35" s="70">
        <v>2821.17</v>
      </c>
      <c r="T35" s="70">
        <v>2916.5</v>
      </c>
      <c r="U35" s="70">
        <v>2796.34</v>
      </c>
      <c r="V35" s="61"/>
      <c r="W35" s="71">
        <v>3.0300000000000001E-2</v>
      </c>
      <c r="X35" s="64"/>
      <c r="Y35" s="64"/>
      <c r="Z35" s="69">
        <v>43108</v>
      </c>
      <c r="AA35" s="72">
        <v>85250</v>
      </c>
      <c r="AB35" s="72">
        <v>83793</v>
      </c>
      <c r="AC35" s="72">
        <v>85782</v>
      </c>
      <c r="AD35" s="72">
        <v>81120</v>
      </c>
      <c r="AE35" s="61"/>
      <c r="AF35" s="71">
        <v>1.7999999999999999E-2</v>
      </c>
      <c r="AG35" s="64"/>
      <c r="AH35" s="69">
        <v>43108</v>
      </c>
      <c r="AI35" s="72">
        <v>1200.71</v>
      </c>
      <c r="AJ35" s="72">
        <v>1223.97</v>
      </c>
      <c r="AK35" s="72">
        <v>1225.0999999999999</v>
      </c>
      <c r="AL35" s="72">
        <v>1160.19</v>
      </c>
      <c r="AM35" s="61"/>
      <c r="AN35" s="71">
        <v>-1.8599999999999998E-2</v>
      </c>
      <c r="AY35" s="60">
        <v>43374</v>
      </c>
      <c r="AZ35" s="61">
        <v>2018</v>
      </c>
      <c r="BA35" s="61">
        <v>10</v>
      </c>
      <c r="BB35" s="62">
        <v>74.099999999999994</v>
      </c>
      <c r="BC35" s="61">
        <v>74.3</v>
      </c>
      <c r="BD35" s="61">
        <v>73.900000000000006</v>
      </c>
      <c r="BE35" s="62">
        <v>3.38</v>
      </c>
      <c r="BF35" s="62">
        <v>2.82</v>
      </c>
      <c r="BG35" s="62">
        <v>4.04</v>
      </c>
      <c r="BI35" s="3">
        <v>43374</v>
      </c>
      <c r="BJ35" s="4">
        <v>73.560900000000004</v>
      </c>
    </row>
    <row r="36" spans="1:62" x14ac:dyDescent="0.25">
      <c r="A36" s="65">
        <v>42417</v>
      </c>
      <c r="B36" s="66">
        <v>7108.45</v>
      </c>
      <c r="C36" s="66">
        <v>7058.85</v>
      </c>
      <c r="D36" s="66">
        <v>7123.7</v>
      </c>
      <c r="E36" s="66">
        <v>6960.65</v>
      </c>
      <c r="F36" s="67" t="s">
        <v>2645</v>
      </c>
      <c r="G36" s="68">
        <v>8.5000000000000006E-3</v>
      </c>
      <c r="H36" s="64"/>
      <c r="I36" s="69">
        <v>43109</v>
      </c>
      <c r="J36" s="70">
        <v>10930.45</v>
      </c>
      <c r="K36" s="70">
        <v>11751.8</v>
      </c>
      <c r="L36" s="70">
        <v>11751.8</v>
      </c>
      <c r="M36" s="70">
        <v>10850.3</v>
      </c>
      <c r="N36" s="61" t="s">
        <v>2764</v>
      </c>
      <c r="O36" s="71">
        <v>-6.4199999999999993E-2</v>
      </c>
      <c r="P36" s="64"/>
      <c r="Q36" s="69">
        <v>43109</v>
      </c>
      <c r="R36" s="70">
        <v>2913.98</v>
      </c>
      <c r="S36" s="70">
        <v>2896.96</v>
      </c>
      <c r="T36" s="70">
        <v>2940.91</v>
      </c>
      <c r="U36" s="70">
        <v>2864.12</v>
      </c>
      <c r="V36" s="61"/>
      <c r="W36" s="71">
        <v>4.3E-3</v>
      </c>
      <c r="X36" s="64"/>
      <c r="Y36" s="64"/>
      <c r="Z36" s="69">
        <v>43109</v>
      </c>
      <c r="AA36" s="72">
        <v>86398</v>
      </c>
      <c r="AB36" s="72">
        <v>85227</v>
      </c>
      <c r="AC36" s="72">
        <v>87852</v>
      </c>
      <c r="AD36" s="72">
        <v>84827</v>
      </c>
      <c r="AE36" s="61"/>
      <c r="AF36" s="71">
        <v>1.35E-2</v>
      </c>
      <c r="AG36" s="64"/>
      <c r="AH36" s="69">
        <v>43109</v>
      </c>
      <c r="AI36" s="72">
        <v>1191.69</v>
      </c>
      <c r="AJ36" s="72">
        <v>1200.29</v>
      </c>
      <c r="AK36" s="72">
        <v>1212.9000000000001</v>
      </c>
      <c r="AL36" s="72">
        <v>1180.68</v>
      </c>
      <c r="AM36" s="61"/>
      <c r="AN36" s="71">
        <v>-7.4999999999999997E-3</v>
      </c>
      <c r="AY36" s="60">
        <v>43405</v>
      </c>
      <c r="AZ36" s="61">
        <v>2018</v>
      </c>
      <c r="BA36" s="61">
        <v>11</v>
      </c>
      <c r="BB36" s="62">
        <v>74.2</v>
      </c>
      <c r="BC36" s="61">
        <v>74.400000000000006</v>
      </c>
      <c r="BD36" s="61">
        <v>73.900000000000006</v>
      </c>
      <c r="BE36" s="62">
        <v>2.33</v>
      </c>
      <c r="BF36" s="62">
        <v>1.71</v>
      </c>
      <c r="BG36" s="62">
        <v>3.12</v>
      </c>
      <c r="BI36" s="3">
        <v>43405</v>
      </c>
      <c r="BJ36" s="4">
        <v>71.738</v>
      </c>
    </row>
    <row r="37" spans="1:62" x14ac:dyDescent="0.25">
      <c r="A37" s="65">
        <v>42418</v>
      </c>
      <c r="B37" s="66">
        <v>7191.75</v>
      </c>
      <c r="C37" s="66">
        <v>7177.4</v>
      </c>
      <c r="D37" s="66">
        <v>7215.1</v>
      </c>
      <c r="E37" s="66">
        <v>7127.85</v>
      </c>
      <c r="F37" s="67" t="s">
        <v>2644</v>
      </c>
      <c r="G37" s="68">
        <v>1.17E-2</v>
      </c>
      <c r="H37" s="64"/>
      <c r="I37" s="69">
        <v>43110</v>
      </c>
      <c r="J37" s="70">
        <v>10386.6</v>
      </c>
      <c r="K37" s="70">
        <v>10930.9</v>
      </c>
      <c r="L37" s="70">
        <v>11035.65</v>
      </c>
      <c r="M37" s="70">
        <v>10004.549999999999</v>
      </c>
      <c r="N37" s="61" t="s">
        <v>2763</v>
      </c>
      <c r="O37" s="71">
        <v>-4.9799999999999997E-2</v>
      </c>
      <c r="P37" s="64"/>
      <c r="Q37" s="69">
        <v>43110</v>
      </c>
      <c r="R37" s="70">
        <v>2711.74</v>
      </c>
      <c r="S37" s="70">
        <v>2926.29</v>
      </c>
      <c r="T37" s="70">
        <v>2939.86</v>
      </c>
      <c r="U37" s="70">
        <v>2603.54</v>
      </c>
      <c r="V37" s="61"/>
      <c r="W37" s="71">
        <v>-6.9400000000000003E-2</v>
      </c>
      <c r="X37" s="64"/>
      <c r="Y37" s="64"/>
      <c r="Z37" s="69">
        <v>43110</v>
      </c>
      <c r="AA37" s="72">
        <v>89774</v>
      </c>
      <c r="AB37" s="72">
        <v>86446</v>
      </c>
      <c r="AC37" s="72">
        <v>91357</v>
      </c>
      <c r="AD37" s="72">
        <v>86134</v>
      </c>
      <c r="AE37" s="61"/>
      <c r="AF37" s="71">
        <v>3.9100000000000003E-2</v>
      </c>
      <c r="AG37" s="64"/>
      <c r="AH37" s="69">
        <v>43110</v>
      </c>
      <c r="AI37" s="72">
        <v>1214.1400000000001</v>
      </c>
      <c r="AJ37" s="72">
        <v>1192.19</v>
      </c>
      <c r="AK37" s="72">
        <v>1243.6300000000001</v>
      </c>
      <c r="AL37" s="72">
        <v>1183.24</v>
      </c>
      <c r="AM37" s="61"/>
      <c r="AN37" s="71">
        <v>1.8800000000000001E-2</v>
      </c>
      <c r="AY37" s="60">
        <v>43435</v>
      </c>
      <c r="AZ37" s="61">
        <v>2018</v>
      </c>
      <c r="BA37" s="61">
        <v>12</v>
      </c>
      <c r="BB37" s="62">
        <v>73.8</v>
      </c>
      <c r="BC37" s="61">
        <v>74.099999999999994</v>
      </c>
      <c r="BD37" s="61">
        <v>73.400000000000006</v>
      </c>
      <c r="BE37" s="62">
        <v>2.11</v>
      </c>
      <c r="BF37" s="62">
        <v>1.5</v>
      </c>
      <c r="BG37" s="62">
        <v>2.91</v>
      </c>
      <c r="BI37" s="3">
        <v>43435</v>
      </c>
      <c r="BJ37" s="4">
        <v>70.833100000000002</v>
      </c>
    </row>
    <row r="38" spans="1:62" x14ac:dyDescent="0.25">
      <c r="A38" s="65">
        <v>42419</v>
      </c>
      <c r="B38" s="66">
        <v>7210.75</v>
      </c>
      <c r="C38" s="66">
        <v>7170.55</v>
      </c>
      <c r="D38" s="66">
        <v>7226.85</v>
      </c>
      <c r="E38" s="66">
        <v>7145.95</v>
      </c>
      <c r="F38" s="67" t="s">
        <v>2643</v>
      </c>
      <c r="G38" s="68">
        <v>2.5999999999999999E-3</v>
      </c>
      <c r="H38" s="64"/>
      <c r="I38" s="69">
        <v>43111</v>
      </c>
      <c r="J38" s="70">
        <v>10876.75</v>
      </c>
      <c r="K38" s="70">
        <v>10441.700000000001</v>
      </c>
      <c r="L38" s="70">
        <v>10922.45</v>
      </c>
      <c r="M38" s="70">
        <v>10341.9</v>
      </c>
      <c r="N38" s="61" t="s">
        <v>2757</v>
      </c>
      <c r="O38" s="71">
        <v>4.7199999999999999E-2</v>
      </c>
      <c r="P38" s="64"/>
      <c r="Q38" s="69">
        <v>43111</v>
      </c>
      <c r="R38" s="70">
        <v>2760.17</v>
      </c>
      <c r="S38" s="70">
        <v>2717.58</v>
      </c>
      <c r="T38" s="70">
        <v>2815.15</v>
      </c>
      <c r="U38" s="70">
        <v>2631.09</v>
      </c>
      <c r="V38" s="61"/>
      <c r="W38" s="71">
        <v>1.7899999999999999E-2</v>
      </c>
      <c r="X38" s="64"/>
      <c r="Y38" s="64"/>
      <c r="Z38" s="69">
        <v>43111</v>
      </c>
      <c r="AA38" s="72">
        <v>85092</v>
      </c>
      <c r="AB38" s="72">
        <v>89827</v>
      </c>
      <c r="AC38" s="72">
        <v>90919</v>
      </c>
      <c r="AD38" s="72">
        <v>84692</v>
      </c>
      <c r="AE38" s="61"/>
      <c r="AF38" s="71">
        <v>-5.2200000000000003E-2</v>
      </c>
      <c r="AG38" s="64"/>
      <c r="AH38" s="69">
        <v>43111</v>
      </c>
      <c r="AI38" s="72">
        <v>1221.8800000000001</v>
      </c>
      <c r="AJ38" s="72">
        <v>1215.24</v>
      </c>
      <c r="AK38" s="72">
        <v>1237.74</v>
      </c>
      <c r="AL38" s="72">
        <v>1196.19</v>
      </c>
      <c r="AM38" s="61"/>
      <c r="AN38" s="71">
        <v>6.4000000000000003E-3</v>
      </c>
      <c r="AY38" s="60">
        <v>43466</v>
      </c>
      <c r="AZ38" s="61">
        <v>2019</v>
      </c>
      <c r="BA38" s="61">
        <v>1</v>
      </c>
      <c r="BB38" s="62">
        <v>73.5</v>
      </c>
      <c r="BC38" s="61">
        <v>73.599999999999994</v>
      </c>
      <c r="BD38" s="61">
        <v>73.400000000000006</v>
      </c>
      <c r="BE38" s="62">
        <v>1.97</v>
      </c>
      <c r="BF38" s="62">
        <v>1.22</v>
      </c>
      <c r="BG38" s="62">
        <v>2.91</v>
      </c>
      <c r="BI38" s="3">
        <v>43466</v>
      </c>
      <c r="BJ38" s="4">
        <v>70.709999999999994</v>
      </c>
    </row>
    <row r="39" spans="1:62" x14ac:dyDescent="0.25">
      <c r="A39" s="65">
        <v>42422</v>
      </c>
      <c r="B39" s="66">
        <v>7234.55</v>
      </c>
      <c r="C39" s="66">
        <v>7208.85</v>
      </c>
      <c r="D39" s="66">
        <v>7252.4</v>
      </c>
      <c r="E39" s="66">
        <v>7200.7</v>
      </c>
      <c r="F39" s="67" t="s">
        <v>2642</v>
      </c>
      <c r="G39" s="68">
        <v>3.3E-3</v>
      </c>
      <c r="H39" s="64"/>
      <c r="I39" s="69">
        <v>43112</v>
      </c>
      <c r="J39" s="70">
        <v>10862.55</v>
      </c>
      <c r="K39" s="70">
        <v>10930.7</v>
      </c>
      <c r="L39" s="70">
        <v>10985.15</v>
      </c>
      <c r="M39" s="70">
        <v>10333.85</v>
      </c>
      <c r="N39" s="61" t="s">
        <v>2702</v>
      </c>
      <c r="O39" s="71">
        <v>-1.2999999999999999E-3</v>
      </c>
      <c r="P39" s="64"/>
      <c r="Q39" s="69">
        <v>43112</v>
      </c>
      <c r="R39" s="70">
        <v>2506.85</v>
      </c>
      <c r="S39" s="70">
        <v>2790.5</v>
      </c>
      <c r="T39" s="70">
        <v>2800.18</v>
      </c>
      <c r="U39" s="70">
        <v>2346.58</v>
      </c>
      <c r="V39" s="61"/>
      <c r="W39" s="71">
        <v>-9.1800000000000007E-2</v>
      </c>
      <c r="X39" s="64"/>
      <c r="Y39" s="64"/>
      <c r="Z39" s="69">
        <v>43112</v>
      </c>
      <c r="AA39" s="72">
        <v>89188</v>
      </c>
      <c r="AB39" s="72">
        <v>85195</v>
      </c>
      <c r="AC39" s="72">
        <v>90509</v>
      </c>
      <c r="AD39" s="72">
        <v>85058</v>
      </c>
      <c r="AE39" s="61"/>
      <c r="AF39" s="71">
        <v>4.8099999999999997E-2</v>
      </c>
      <c r="AG39" s="64"/>
      <c r="AH39" s="69">
        <v>43112</v>
      </c>
      <c r="AI39" s="72">
        <v>1282.73</v>
      </c>
      <c r="AJ39" s="72">
        <v>1223.19</v>
      </c>
      <c r="AK39" s="72">
        <v>1284.3399999999999</v>
      </c>
      <c r="AL39" s="72">
        <v>1221.22</v>
      </c>
      <c r="AM39" s="61"/>
      <c r="AN39" s="71">
        <v>4.9799999999999997E-2</v>
      </c>
      <c r="AY39" s="60">
        <v>43497</v>
      </c>
      <c r="AZ39" s="61">
        <v>2019</v>
      </c>
      <c r="BA39" s="61">
        <v>2</v>
      </c>
      <c r="BB39" s="62">
        <v>73.7</v>
      </c>
      <c r="BC39" s="61">
        <v>73.599999999999994</v>
      </c>
      <c r="BD39" s="61">
        <v>73.7</v>
      </c>
      <c r="BE39" s="62">
        <v>2.57</v>
      </c>
      <c r="BF39" s="62">
        <v>1.81</v>
      </c>
      <c r="BG39" s="62">
        <v>3.43</v>
      </c>
      <c r="BI39" s="3">
        <v>43497</v>
      </c>
      <c r="BJ39" s="4">
        <v>71.173900000000003</v>
      </c>
    </row>
    <row r="40" spans="1:62" x14ac:dyDescent="0.25">
      <c r="A40" s="65">
        <v>42423</v>
      </c>
      <c r="B40" s="66">
        <v>7109.55</v>
      </c>
      <c r="C40" s="66">
        <v>7240.3</v>
      </c>
      <c r="D40" s="66">
        <v>7241.7</v>
      </c>
      <c r="E40" s="66">
        <v>7090.7</v>
      </c>
      <c r="F40" s="67" t="s">
        <v>2417</v>
      </c>
      <c r="G40" s="68">
        <v>-1.7299999999999999E-2</v>
      </c>
      <c r="H40" s="64"/>
      <c r="I40" s="69">
        <v>43466</v>
      </c>
      <c r="J40" s="70">
        <v>10830.95</v>
      </c>
      <c r="K40" s="70">
        <v>10881.7</v>
      </c>
      <c r="L40" s="70">
        <v>10987.45</v>
      </c>
      <c r="M40" s="70">
        <v>10583.65</v>
      </c>
      <c r="N40" s="61" t="s">
        <v>2762</v>
      </c>
      <c r="O40" s="71">
        <v>-2.8999999999999998E-3</v>
      </c>
      <c r="P40" s="64"/>
      <c r="Q40" s="69">
        <v>43466</v>
      </c>
      <c r="R40" s="70">
        <v>2704.1</v>
      </c>
      <c r="S40" s="70">
        <v>2476.96</v>
      </c>
      <c r="T40" s="70">
        <v>2708.95</v>
      </c>
      <c r="U40" s="70">
        <v>2443.96</v>
      </c>
      <c r="V40" s="61"/>
      <c r="W40" s="71">
        <v>7.8700000000000006E-2</v>
      </c>
      <c r="X40" s="64"/>
      <c r="Y40" s="64"/>
      <c r="Z40" s="69">
        <v>43466</v>
      </c>
      <c r="AA40" s="72">
        <v>93750</v>
      </c>
      <c r="AB40" s="72">
        <v>89315</v>
      </c>
      <c r="AC40" s="72">
        <v>94349</v>
      </c>
      <c r="AD40" s="72">
        <v>88823</v>
      </c>
      <c r="AE40" s="61"/>
      <c r="AF40" s="71">
        <v>5.1200000000000002E-2</v>
      </c>
      <c r="AG40" s="64"/>
      <c r="AH40" s="69">
        <v>43466</v>
      </c>
      <c r="AI40" s="72">
        <v>1320.56</v>
      </c>
      <c r="AJ40" s="72">
        <v>1282.78</v>
      </c>
      <c r="AK40" s="72">
        <v>1326.65</v>
      </c>
      <c r="AL40" s="72">
        <v>1276.58</v>
      </c>
      <c r="AM40" s="61"/>
      <c r="AN40" s="71">
        <v>2.9499999999999998E-2</v>
      </c>
      <c r="AY40" s="60">
        <v>43525</v>
      </c>
      <c r="AZ40" s="61">
        <v>2019</v>
      </c>
      <c r="BA40" s="61">
        <v>3</v>
      </c>
      <c r="BB40" s="62">
        <v>73.900000000000006</v>
      </c>
      <c r="BC40" s="61">
        <v>73.7</v>
      </c>
      <c r="BD40" s="61">
        <v>74.2</v>
      </c>
      <c r="BE40" s="62">
        <v>2.86</v>
      </c>
      <c r="BF40" s="62">
        <v>1.8</v>
      </c>
      <c r="BG40" s="62">
        <v>4.0999999999999996</v>
      </c>
      <c r="BI40" s="3">
        <v>43525</v>
      </c>
      <c r="BJ40" s="4">
        <v>69.489500000000007</v>
      </c>
    </row>
    <row r="41" spans="1:62" x14ac:dyDescent="0.25">
      <c r="A41" s="65">
        <v>42424</v>
      </c>
      <c r="B41" s="66">
        <v>7018.7</v>
      </c>
      <c r="C41" s="66">
        <v>7075</v>
      </c>
      <c r="D41" s="66">
        <v>7090.8</v>
      </c>
      <c r="E41" s="66">
        <v>7009.75</v>
      </c>
      <c r="F41" s="67" t="s">
        <v>2641</v>
      </c>
      <c r="G41" s="68">
        <v>-1.2800000000000001E-2</v>
      </c>
      <c r="H41" s="64"/>
      <c r="I41" s="69">
        <v>43467</v>
      </c>
      <c r="J41" s="70">
        <v>10792.5</v>
      </c>
      <c r="K41" s="70">
        <v>10851.35</v>
      </c>
      <c r="L41" s="70">
        <v>11118.1</v>
      </c>
      <c r="M41" s="70">
        <v>10585.65</v>
      </c>
      <c r="N41" s="61" t="s">
        <v>2761</v>
      </c>
      <c r="O41" s="71">
        <v>-3.5999999999999999E-3</v>
      </c>
      <c r="P41" s="64"/>
      <c r="Q41" s="69">
        <v>43467</v>
      </c>
      <c r="R41" s="70">
        <v>2784.49</v>
      </c>
      <c r="S41" s="70">
        <v>2702.32</v>
      </c>
      <c r="T41" s="70">
        <v>2813.49</v>
      </c>
      <c r="U41" s="70">
        <v>2681.83</v>
      </c>
      <c r="V41" s="61"/>
      <c r="W41" s="71">
        <v>2.9700000000000001E-2</v>
      </c>
      <c r="X41" s="64"/>
      <c r="Y41" s="64"/>
      <c r="Z41" s="69">
        <v>43467</v>
      </c>
      <c r="AA41" s="72">
        <v>93012</v>
      </c>
      <c r="AB41" s="72">
        <v>93740</v>
      </c>
      <c r="AC41" s="72">
        <v>96078</v>
      </c>
      <c r="AD41" s="72">
        <v>92367</v>
      </c>
      <c r="AE41" s="61"/>
      <c r="AF41" s="71">
        <v>-7.9000000000000008E-3</v>
      </c>
      <c r="AG41" s="64"/>
      <c r="AH41" s="69">
        <v>43467</v>
      </c>
      <c r="AI41" s="72">
        <v>1312.66</v>
      </c>
      <c r="AJ41" s="72">
        <v>1320.93</v>
      </c>
      <c r="AK41" s="72">
        <v>1347.11</v>
      </c>
      <c r="AL41" s="72">
        <v>1302.53</v>
      </c>
      <c r="AM41" s="61"/>
      <c r="AN41" s="71">
        <v>-6.0000000000000001E-3</v>
      </c>
      <c r="AY41" s="60">
        <v>43556</v>
      </c>
      <c r="AZ41" s="61">
        <v>2019</v>
      </c>
      <c r="BA41" s="61">
        <v>4</v>
      </c>
      <c r="BB41" s="62">
        <v>74.400000000000006</v>
      </c>
      <c r="BC41" s="61">
        <v>74</v>
      </c>
      <c r="BD41" s="61">
        <v>74.8</v>
      </c>
      <c r="BE41" s="62">
        <v>2.99</v>
      </c>
      <c r="BF41" s="62">
        <v>1.87</v>
      </c>
      <c r="BG41" s="62">
        <v>4.3</v>
      </c>
      <c r="BI41" s="3">
        <v>43556</v>
      </c>
      <c r="BJ41" s="4">
        <v>69.406800000000004</v>
      </c>
    </row>
    <row r="42" spans="1:62" x14ac:dyDescent="0.25">
      <c r="A42" s="65">
        <v>42425</v>
      </c>
      <c r="B42" s="66">
        <v>6970.6</v>
      </c>
      <c r="C42" s="66">
        <v>7029.85</v>
      </c>
      <c r="D42" s="66">
        <v>7034.2</v>
      </c>
      <c r="E42" s="66">
        <v>6961.4</v>
      </c>
      <c r="F42" s="67" t="s">
        <v>2640</v>
      </c>
      <c r="G42" s="68">
        <v>-6.8999999999999999E-3</v>
      </c>
      <c r="H42" s="64"/>
      <c r="I42" s="69">
        <v>43468</v>
      </c>
      <c r="J42" s="70">
        <v>11623.9</v>
      </c>
      <c r="K42" s="70">
        <v>10842.65</v>
      </c>
      <c r="L42" s="70">
        <v>11630.35</v>
      </c>
      <c r="M42" s="70">
        <v>10817</v>
      </c>
      <c r="N42" s="61" t="s">
        <v>2760</v>
      </c>
      <c r="O42" s="71">
        <v>7.6999999999999999E-2</v>
      </c>
      <c r="P42" s="64"/>
      <c r="Q42" s="69">
        <v>43468</v>
      </c>
      <c r="R42" s="70">
        <v>2834.4</v>
      </c>
      <c r="S42" s="70">
        <v>2798.22</v>
      </c>
      <c r="T42" s="70">
        <v>2860.31</v>
      </c>
      <c r="U42" s="70">
        <v>2722.27</v>
      </c>
      <c r="V42" s="61"/>
      <c r="W42" s="71">
        <v>1.7899999999999999E-2</v>
      </c>
      <c r="X42" s="64"/>
      <c r="Y42" s="64"/>
      <c r="Z42" s="69">
        <v>43468</v>
      </c>
      <c r="AA42" s="72">
        <v>89374</v>
      </c>
      <c r="AB42" s="72">
        <v>93035</v>
      </c>
      <c r="AC42" s="72">
        <v>93170</v>
      </c>
      <c r="AD42" s="72">
        <v>88988</v>
      </c>
      <c r="AE42" s="61"/>
      <c r="AF42" s="71">
        <v>-3.9100000000000003E-2</v>
      </c>
      <c r="AG42" s="64"/>
      <c r="AH42" s="69">
        <v>43468</v>
      </c>
      <c r="AI42" s="72">
        <v>1291.9000000000001</v>
      </c>
      <c r="AJ42" s="72">
        <v>1312.94</v>
      </c>
      <c r="AK42" s="72">
        <v>1324.57</v>
      </c>
      <c r="AL42" s="72">
        <v>1281.0999999999999</v>
      </c>
      <c r="AM42" s="61"/>
      <c r="AN42" s="71">
        <v>-1.5800000000000002E-2</v>
      </c>
      <c r="AY42" s="60">
        <v>43586</v>
      </c>
      <c r="AZ42" s="61">
        <v>2019</v>
      </c>
      <c r="BA42" s="61">
        <v>5</v>
      </c>
      <c r="BB42" s="62">
        <v>74.8</v>
      </c>
      <c r="BC42" s="61">
        <v>74.400000000000006</v>
      </c>
      <c r="BD42" s="61">
        <v>75.3</v>
      </c>
      <c r="BE42" s="62">
        <v>3.05</v>
      </c>
      <c r="BF42" s="62">
        <v>1.86</v>
      </c>
      <c r="BG42" s="62">
        <v>4.51</v>
      </c>
      <c r="BI42" s="3">
        <v>43586</v>
      </c>
      <c r="BJ42" s="4">
        <v>69.782700000000006</v>
      </c>
    </row>
    <row r="43" spans="1:62" x14ac:dyDescent="0.25">
      <c r="A43" s="65">
        <v>42426</v>
      </c>
      <c r="B43" s="66">
        <v>7029.75</v>
      </c>
      <c r="C43" s="66">
        <v>7039.3</v>
      </c>
      <c r="D43" s="66">
        <v>7052.9</v>
      </c>
      <c r="E43" s="66">
        <v>6985.1</v>
      </c>
      <c r="F43" s="67" t="s">
        <v>2639</v>
      </c>
      <c r="G43" s="68">
        <v>8.5000000000000006E-3</v>
      </c>
      <c r="H43" s="64"/>
      <c r="I43" s="69">
        <v>43469</v>
      </c>
      <c r="J43" s="70">
        <v>11748.15</v>
      </c>
      <c r="K43" s="70">
        <v>11665.2</v>
      </c>
      <c r="L43" s="70">
        <v>11856.15</v>
      </c>
      <c r="M43" s="70">
        <v>11549.1</v>
      </c>
      <c r="N43" s="61" t="s">
        <v>2759</v>
      </c>
      <c r="O43" s="71">
        <v>1.0699999999999999E-2</v>
      </c>
      <c r="P43" s="64"/>
      <c r="Q43" s="69">
        <v>43469</v>
      </c>
      <c r="R43" s="70">
        <v>2945.83</v>
      </c>
      <c r="S43" s="70">
        <v>2848.63</v>
      </c>
      <c r="T43" s="70">
        <v>2949.52</v>
      </c>
      <c r="U43" s="70">
        <v>2848.63</v>
      </c>
      <c r="V43" s="61"/>
      <c r="W43" s="71">
        <v>3.9300000000000002E-2</v>
      </c>
      <c r="X43" s="64"/>
      <c r="Y43" s="64"/>
      <c r="Z43" s="69">
        <v>43469</v>
      </c>
      <c r="AA43" s="72">
        <v>89367</v>
      </c>
      <c r="AB43" s="72">
        <v>89351</v>
      </c>
      <c r="AC43" s="72">
        <v>90814</v>
      </c>
      <c r="AD43" s="72">
        <v>88157</v>
      </c>
      <c r="AE43" s="61"/>
      <c r="AF43" s="71">
        <v>-1E-4</v>
      </c>
      <c r="AG43" s="64"/>
      <c r="AH43" s="69">
        <v>43469</v>
      </c>
      <c r="AI43" s="72">
        <v>1283.3499999999999</v>
      </c>
      <c r="AJ43" s="72">
        <v>1291.48</v>
      </c>
      <c r="AK43" s="72">
        <v>1310.96</v>
      </c>
      <c r="AL43" s="72">
        <v>1266.25</v>
      </c>
      <c r="AM43" s="61"/>
      <c r="AN43" s="71">
        <v>-6.6E-3</v>
      </c>
      <c r="AY43" s="60">
        <v>43617</v>
      </c>
      <c r="AZ43" s="61">
        <v>2019</v>
      </c>
      <c r="BA43" s="61">
        <v>6</v>
      </c>
      <c r="BB43" s="62">
        <v>75.3</v>
      </c>
      <c r="BC43" s="61">
        <v>75</v>
      </c>
      <c r="BD43" s="61">
        <v>75.599999999999994</v>
      </c>
      <c r="BE43" s="62">
        <v>3.18</v>
      </c>
      <c r="BF43" s="62">
        <v>2.21</v>
      </c>
      <c r="BG43" s="62">
        <v>4.33</v>
      </c>
      <c r="BI43" s="3">
        <v>43617</v>
      </c>
      <c r="BJ43" s="4">
        <v>69.388000000000005</v>
      </c>
    </row>
    <row r="44" spans="1:62" x14ac:dyDescent="0.25">
      <c r="A44" s="65">
        <v>42429</v>
      </c>
      <c r="B44" s="66">
        <v>6987.05</v>
      </c>
      <c r="C44" s="66">
        <v>7050.45</v>
      </c>
      <c r="D44" s="66">
        <v>7094.6</v>
      </c>
      <c r="E44" s="66">
        <v>6825.8</v>
      </c>
      <c r="F44" s="67" t="s">
        <v>2638</v>
      </c>
      <c r="G44" s="68">
        <v>-6.1000000000000004E-3</v>
      </c>
      <c r="H44" s="64"/>
      <c r="I44" s="69">
        <v>43470</v>
      </c>
      <c r="J44" s="70">
        <v>11922.8</v>
      </c>
      <c r="K44" s="70">
        <v>11725.55</v>
      </c>
      <c r="L44" s="70">
        <v>12041.15</v>
      </c>
      <c r="M44" s="70">
        <v>11108.3</v>
      </c>
      <c r="N44" s="61" t="s">
        <v>2758</v>
      </c>
      <c r="O44" s="71">
        <v>1.49E-2</v>
      </c>
      <c r="P44" s="64"/>
      <c r="Q44" s="69">
        <v>43470</v>
      </c>
      <c r="R44" s="70">
        <v>2752.06</v>
      </c>
      <c r="S44" s="70">
        <v>2952.33</v>
      </c>
      <c r="T44" s="70">
        <v>2954.13</v>
      </c>
      <c r="U44" s="70">
        <v>2750.52</v>
      </c>
      <c r="V44" s="61"/>
      <c r="W44" s="71">
        <v>-6.5799999999999997E-2</v>
      </c>
      <c r="X44" s="64"/>
      <c r="Y44" s="64"/>
      <c r="Z44" s="69">
        <v>43470</v>
      </c>
      <c r="AA44" s="72">
        <v>90817</v>
      </c>
      <c r="AB44" s="72">
        <v>89399</v>
      </c>
      <c r="AC44" s="72">
        <v>92031</v>
      </c>
      <c r="AD44" s="72">
        <v>87822</v>
      </c>
      <c r="AE44" s="61"/>
      <c r="AF44" s="71">
        <v>1.6199999999999999E-2</v>
      </c>
      <c r="AG44" s="64"/>
      <c r="AH44" s="69">
        <v>43470</v>
      </c>
      <c r="AI44" s="72">
        <v>1305.25</v>
      </c>
      <c r="AJ44" s="72">
        <v>1283.5899999999999</v>
      </c>
      <c r="AK44" s="72">
        <v>1307.1099999999999</v>
      </c>
      <c r="AL44" s="72">
        <v>1266.18</v>
      </c>
      <c r="AM44" s="61"/>
      <c r="AN44" s="71">
        <v>1.7100000000000001E-2</v>
      </c>
      <c r="AY44" s="60">
        <v>43647</v>
      </c>
      <c r="AZ44" s="61">
        <v>2019</v>
      </c>
      <c r="BA44" s="61">
        <v>7</v>
      </c>
      <c r="BB44" s="62">
        <v>76</v>
      </c>
      <c r="BC44" s="61">
        <v>75.7</v>
      </c>
      <c r="BD44" s="61">
        <v>76.2</v>
      </c>
      <c r="BE44" s="62">
        <v>3.15</v>
      </c>
      <c r="BF44" s="62">
        <v>2.19</v>
      </c>
      <c r="BG44" s="62">
        <v>4.22</v>
      </c>
      <c r="BI44" s="3">
        <v>43647</v>
      </c>
      <c r="BJ44" s="4">
        <v>68.739099999999993</v>
      </c>
    </row>
    <row r="45" spans="1:62" x14ac:dyDescent="0.25">
      <c r="A45" s="65">
        <v>42430</v>
      </c>
      <c r="B45" s="66">
        <v>7222.3</v>
      </c>
      <c r="C45" s="66">
        <v>7038.25</v>
      </c>
      <c r="D45" s="66">
        <v>7235.5</v>
      </c>
      <c r="E45" s="66">
        <v>7035.1</v>
      </c>
      <c r="F45" s="67" t="s">
        <v>2637</v>
      </c>
      <c r="G45" s="68">
        <v>3.3700000000000001E-2</v>
      </c>
      <c r="H45" s="64"/>
      <c r="I45" s="69">
        <v>43471</v>
      </c>
      <c r="J45" s="70">
        <v>11788.85</v>
      </c>
      <c r="K45" s="70">
        <v>11953.75</v>
      </c>
      <c r="L45" s="70">
        <v>12103.05</v>
      </c>
      <c r="M45" s="70">
        <v>11625.1</v>
      </c>
      <c r="N45" s="61" t="s">
        <v>2757</v>
      </c>
      <c r="O45" s="71">
        <v>-1.12E-2</v>
      </c>
      <c r="P45" s="64"/>
      <c r="Q45" s="69">
        <v>43471</v>
      </c>
      <c r="R45" s="70">
        <v>2941.76</v>
      </c>
      <c r="S45" s="70">
        <v>2751.53</v>
      </c>
      <c r="T45" s="70">
        <v>2964.15</v>
      </c>
      <c r="U45" s="70">
        <v>2728.81</v>
      </c>
      <c r="V45" s="61"/>
      <c r="W45" s="71">
        <v>6.8900000000000003E-2</v>
      </c>
      <c r="X45" s="64"/>
      <c r="Y45" s="64"/>
      <c r="Z45" s="69">
        <v>43471</v>
      </c>
      <c r="AA45" s="72">
        <v>97154</v>
      </c>
      <c r="AB45" s="72">
        <v>90969</v>
      </c>
      <c r="AC45" s="72">
        <v>99706</v>
      </c>
      <c r="AD45" s="72">
        <v>90849</v>
      </c>
      <c r="AE45" s="61"/>
      <c r="AF45" s="71">
        <v>6.9800000000000001E-2</v>
      </c>
      <c r="AG45" s="64"/>
      <c r="AH45" s="69">
        <v>43471</v>
      </c>
      <c r="AI45" s="72">
        <v>1409.1</v>
      </c>
      <c r="AJ45" s="72">
        <v>1307.4000000000001</v>
      </c>
      <c r="AK45" s="72">
        <v>1438.99</v>
      </c>
      <c r="AL45" s="72">
        <v>1306.6199999999999</v>
      </c>
      <c r="AM45" s="61"/>
      <c r="AN45" s="71">
        <v>7.9600000000000004E-2</v>
      </c>
      <c r="AY45" s="60">
        <v>43678</v>
      </c>
      <c r="AZ45" s="61">
        <v>2019</v>
      </c>
      <c r="BA45" s="61">
        <v>8</v>
      </c>
      <c r="BB45" s="62">
        <v>76.400000000000006</v>
      </c>
      <c r="BC45" s="61">
        <v>76.099999999999994</v>
      </c>
      <c r="BD45" s="61">
        <v>76.7</v>
      </c>
      <c r="BE45" s="62">
        <v>3.28</v>
      </c>
      <c r="BF45" s="62">
        <v>2.25</v>
      </c>
      <c r="BG45" s="62">
        <v>4.49</v>
      </c>
      <c r="BI45" s="3">
        <v>43678</v>
      </c>
      <c r="BJ45" s="4">
        <v>71.189099999999996</v>
      </c>
    </row>
    <row r="46" spans="1:62" x14ac:dyDescent="0.25">
      <c r="A46" s="65">
        <v>42431</v>
      </c>
      <c r="B46" s="66">
        <v>7368.85</v>
      </c>
      <c r="C46" s="66">
        <v>7321.7</v>
      </c>
      <c r="D46" s="66">
        <v>7380.35</v>
      </c>
      <c r="E46" s="66">
        <v>7308.15</v>
      </c>
      <c r="F46" s="67" t="s">
        <v>2636</v>
      </c>
      <c r="G46" s="68">
        <v>2.0299999999999999E-2</v>
      </c>
      <c r="H46" s="64"/>
      <c r="I46" s="69">
        <v>43472</v>
      </c>
      <c r="J46" s="70">
        <v>11118</v>
      </c>
      <c r="K46" s="70">
        <v>11839.9</v>
      </c>
      <c r="L46" s="70">
        <v>11981.75</v>
      </c>
      <c r="M46" s="70">
        <v>10999.4</v>
      </c>
      <c r="N46" s="61" t="s">
        <v>2756</v>
      </c>
      <c r="O46" s="71">
        <v>-5.6899999999999999E-2</v>
      </c>
      <c r="P46" s="64"/>
      <c r="Q46" s="69">
        <v>43472</v>
      </c>
      <c r="R46" s="70">
        <v>2980.38</v>
      </c>
      <c r="S46" s="70">
        <v>2971.41</v>
      </c>
      <c r="T46" s="70">
        <v>3027.98</v>
      </c>
      <c r="U46" s="70">
        <v>2952.22</v>
      </c>
      <c r="V46" s="61"/>
      <c r="W46" s="71">
        <v>1.3100000000000001E-2</v>
      </c>
      <c r="X46" s="64"/>
      <c r="Y46" s="64"/>
      <c r="Z46" s="69">
        <v>43472</v>
      </c>
      <c r="AA46" s="72">
        <v>97341</v>
      </c>
      <c r="AB46" s="72">
        <v>96036</v>
      </c>
      <c r="AC46" s="72">
        <v>100044</v>
      </c>
      <c r="AD46" s="72">
        <v>94980</v>
      </c>
      <c r="AE46" s="61"/>
      <c r="AF46" s="71">
        <v>1.9E-3</v>
      </c>
      <c r="AG46" s="64"/>
      <c r="AH46" s="69">
        <v>43472</v>
      </c>
      <c r="AI46" s="72">
        <v>1413.55</v>
      </c>
      <c r="AJ46" s="72">
        <v>1392.83</v>
      </c>
      <c r="AK46" s="72">
        <v>1452.96</v>
      </c>
      <c r="AL46" s="72">
        <v>1381.84</v>
      </c>
      <c r="AM46" s="61"/>
      <c r="AN46" s="71">
        <v>3.2000000000000002E-3</v>
      </c>
      <c r="AY46" s="60">
        <v>43709</v>
      </c>
      <c r="AZ46" s="61">
        <v>2019</v>
      </c>
      <c r="BA46" s="61">
        <v>9</v>
      </c>
      <c r="BB46" s="62">
        <v>76.8</v>
      </c>
      <c r="BC46" s="61">
        <v>76.599999999999994</v>
      </c>
      <c r="BD46" s="61">
        <v>77</v>
      </c>
      <c r="BE46" s="62">
        <v>3.99</v>
      </c>
      <c r="BF46" s="62">
        <v>3.24</v>
      </c>
      <c r="BG46" s="62">
        <v>4.78</v>
      </c>
      <c r="BI46" s="3">
        <v>43709</v>
      </c>
      <c r="BJ46" s="4">
        <v>71.311000000000007</v>
      </c>
    </row>
    <row r="47" spans="1:62" x14ac:dyDescent="0.25">
      <c r="A47" s="65">
        <v>42432</v>
      </c>
      <c r="B47" s="66">
        <v>7475.6</v>
      </c>
      <c r="C47" s="66">
        <v>7429.55</v>
      </c>
      <c r="D47" s="66">
        <v>7483.95</v>
      </c>
      <c r="E47" s="66">
        <v>7406.05</v>
      </c>
      <c r="F47" s="67" t="s">
        <v>2635</v>
      </c>
      <c r="G47" s="68">
        <v>1.4500000000000001E-2</v>
      </c>
      <c r="H47" s="64"/>
      <c r="I47" s="69">
        <v>43473</v>
      </c>
      <c r="J47" s="70">
        <v>11023.25</v>
      </c>
      <c r="K47" s="70">
        <v>11060.2</v>
      </c>
      <c r="L47" s="70">
        <v>11181.45</v>
      </c>
      <c r="M47" s="70">
        <v>10637.15</v>
      </c>
      <c r="N47" s="61" t="s">
        <v>2755</v>
      </c>
      <c r="O47" s="71">
        <v>-8.5000000000000006E-3</v>
      </c>
      <c r="P47" s="64"/>
      <c r="Q47" s="69">
        <v>43473</v>
      </c>
      <c r="R47" s="70">
        <v>2926.46</v>
      </c>
      <c r="S47" s="70">
        <v>2980.32</v>
      </c>
      <c r="T47" s="70">
        <v>3013.59</v>
      </c>
      <c r="U47" s="70">
        <v>2822.12</v>
      </c>
      <c r="V47" s="61"/>
      <c r="W47" s="71">
        <v>-1.8100000000000002E-2</v>
      </c>
      <c r="X47" s="64"/>
      <c r="Y47" s="64"/>
      <c r="Z47" s="69">
        <v>43473</v>
      </c>
      <c r="AA47" s="72">
        <v>108617</v>
      </c>
      <c r="AB47" s="72">
        <v>97376</v>
      </c>
      <c r="AC47" s="72">
        <v>111628</v>
      </c>
      <c r="AD47" s="72">
        <v>96826</v>
      </c>
      <c r="AE47" s="61"/>
      <c r="AF47" s="71">
        <v>0.1158</v>
      </c>
      <c r="AG47" s="64"/>
      <c r="AH47" s="69">
        <v>43473</v>
      </c>
      <c r="AI47" s="72">
        <v>1519.85</v>
      </c>
      <c r="AJ47" s="72">
        <v>1411.34</v>
      </c>
      <c r="AK47" s="72">
        <v>1555.13</v>
      </c>
      <c r="AL47" s="72">
        <v>1400.65</v>
      </c>
      <c r="AM47" s="61"/>
      <c r="AN47" s="71">
        <v>7.5200000000000003E-2</v>
      </c>
      <c r="AY47" s="60">
        <v>43739</v>
      </c>
      <c r="AZ47" s="61">
        <v>2019</v>
      </c>
      <c r="BA47" s="61">
        <v>10</v>
      </c>
      <c r="BB47" s="62">
        <v>77.5</v>
      </c>
      <c r="BC47" s="61">
        <v>77.400000000000006</v>
      </c>
      <c r="BD47" s="61">
        <v>77.7</v>
      </c>
      <c r="BE47" s="62">
        <v>4.62</v>
      </c>
      <c r="BF47" s="62">
        <v>4.29</v>
      </c>
      <c r="BG47" s="62">
        <v>5.1100000000000003</v>
      </c>
      <c r="BI47" s="3">
        <v>43739</v>
      </c>
      <c r="BJ47" s="4">
        <v>71.008600000000001</v>
      </c>
    </row>
    <row r="48" spans="1:62" x14ac:dyDescent="0.25">
      <c r="A48" s="65">
        <v>42433</v>
      </c>
      <c r="B48" s="66">
        <v>7485.35</v>
      </c>
      <c r="C48" s="66">
        <v>7505.4</v>
      </c>
      <c r="D48" s="66">
        <v>7505.9</v>
      </c>
      <c r="E48" s="66">
        <v>7444.1</v>
      </c>
      <c r="F48" s="67" t="s">
        <v>1148</v>
      </c>
      <c r="G48" s="68">
        <v>1.2999999999999999E-3</v>
      </c>
      <c r="H48" s="64"/>
      <c r="I48" s="69">
        <v>43474</v>
      </c>
      <c r="J48" s="70">
        <v>11474.45</v>
      </c>
      <c r="K48" s="70">
        <v>10960.95</v>
      </c>
      <c r="L48" s="70">
        <v>11694.85</v>
      </c>
      <c r="M48" s="70">
        <v>10670.25</v>
      </c>
      <c r="N48" s="61" t="s">
        <v>2754</v>
      </c>
      <c r="O48" s="71">
        <v>4.0899999999999999E-2</v>
      </c>
      <c r="P48" s="64"/>
      <c r="Q48" s="69">
        <v>43474</v>
      </c>
      <c r="R48" s="70">
        <v>2976.74</v>
      </c>
      <c r="S48" s="70">
        <v>2909.01</v>
      </c>
      <c r="T48" s="70">
        <v>3021.99</v>
      </c>
      <c r="U48" s="70">
        <v>2891.85</v>
      </c>
      <c r="V48" s="61"/>
      <c r="W48" s="71">
        <v>1.72E-2</v>
      </c>
      <c r="X48" s="64"/>
      <c r="Y48" s="64"/>
      <c r="Z48" s="69">
        <v>43474</v>
      </c>
      <c r="AA48" s="72">
        <v>103993</v>
      </c>
      <c r="AB48" s="72">
        <v>108616</v>
      </c>
      <c r="AC48" s="72">
        <v>112148</v>
      </c>
      <c r="AD48" s="72">
        <v>103463</v>
      </c>
      <c r="AE48" s="61"/>
      <c r="AF48" s="71">
        <v>-4.2599999999999999E-2</v>
      </c>
      <c r="AG48" s="64"/>
      <c r="AH48" s="69">
        <v>43474</v>
      </c>
      <c r="AI48" s="72">
        <v>1472</v>
      </c>
      <c r="AJ48" s="72">
        <v>1520.1</v>
      </c>
      <c r="AK48" s="72">
        <v>1557.38</v>
      </c>
      <c r="AL48" s="72">
        <v>1464.42</v>
      </c>
      <c r="AM48" s="61"/>
      <c r="AN48" s="71">
        <v>-3.15E-2</v>
      </c>
      <c r="AY48" s="60">
        <v>43770</v>
      </c>
      <c r="AZ48" s="61">
        <v>2019</v>
      </c>
      <c r="BA48" s="61">
        <v>11</v>
      </c>
      <c r="BB48" s="62">
        <v>78.3</v>
      </c>
      <c r="BC48" s="61">
        <v>78.3</v>
      </c>
      <c r="BD48" s="61">
        <v>78.2</v>
      </c>
      <c r="BE48" s="62">
        <v>5.54</v>
      </c>
      <c r="BF48" s="62">
        <v>5.27</v>
      </c>
      <c r="BG48" s="62">
        <v>5.76</v>
      </c>
      <c r="BI48" s="3">
        <v>43770</v>
      </c>
      <c r="BJ48" s="4">
        <v>71.494200000000006</v>
      </c>
    </row>
    <row r="49" spans="1:62" x14ac:dyDescent="0.25">
      <c r="A49" s="65">
        <v>42437</v>
      </c>
      <c r="B49" s="66">
        <v>7485.3</v>
      </c>
      <c r="C49" s="66">
        <v>7486.4</v>
      </c>
      <c r="D49" s="66">
        <v>7527.15</v>
      </c>
      <c r="E49" s="66">
        <v>7442.15</v>
      </c>
      <c r="F49" s="67" t="s">
        <v>2634</v>
      </c>
      <c r="G49" s="68">
        <v>0</v>
      </c>
      <c r="H49" s="64"/>
      <c r="I49" s="69">
        <v>43475</v>
      </c>
      <c r="J49" s="70">
        <v>11877.45</v>
      </c>
      <c r="K49" s="70">
        <v>11515.4</v>
      </c>
      <c r="L49" s="70">
        <v>11945</v>
      </c>
      <c r="M49" s="70">
        <v>11090.15</v>
      </c>
      <c r="N49" s="61" t="s">
        <v>2753</v>
      </c>
      <c r="O49" s="71">
        <v>3.5099999999999999E-2</v>
      </c>
      <c r="P49" s="64"/>
      <c r="Q49" s="69">
        <v>43475</v>
      </c>
      <c r="R49" s="70">
        <v>3037.56</v>
      </c>
      <c r="S49" s="70">
        <v>2983.69</v>
      </c>
      <c r="T49" s="70">
        <v>3050.1</v>
      </c>
      <c r="U49" s="70">
        <v>2855.94</v>
      </c>
      <c r="V49" s="61"/>
      <c r="W49" s="71">
        <v>2.0400000000000001E-2</v>
      </c>
      <c r="X49" s="64"/>
      <c r="Y49" s="64"/>
      <c r="Z49" s="69">
        <v>43475</v>
      </c>
      <c r="AA49" s="72">
        <v>107373</v>
      </c>
      <c r="AB49" s="72">
        <v>104013</v>
      </c>
      <c r="AC49" s="72">
        <v>107895</v>
      </c>
      <c r="AD49" s="72">
        <v>103411</v>
      </c>
      <c r="AE49" s="61"/>
      <c r="AF49" s="71">
        <v>3.2500000000000001E-2</v>
      </c>
      <c r="AG49" s="64"/>
      <c r="AH49" s="69">
        <v>43475</v>
      </c>
      <c r="AI49" s="72">
        <v>1513.16</v>
      </c>
      <c r="AJ49" s="72">
        <v>1472.3</v>
      </c>
      <c r="AK49" s="72">
        <v>1518.81</v>
      </c>
      <c r="AL49" s="72">
        <v>1459</v>
      </c>
      <c r="AM49" s="61"/>
      <c r="AN49" s="71">
        <v>2.8000000000000001E-2</v>
      </c>
      <c r="AY49" s="60">
        <v>43800</v>
      </c>
      <c r="AZ49" s="61">
        <v>2019</v>
      </c>
      <c r="BA49" s="61">
        <v>12</v>
      </c>
      <c r="BB49" s="62">
        <v>79.2</v>
      </c>
      <c r="BC49" s="61">
        <v>79.5</v>
      </c>
      <c r="BD49" s="61">
        <v>78.900000000000006</v>
      </c>
      <c r="BE49" s="62">
        <v>7.35</v>
      </c>
      <c r="BF49" s="62">
        <v>7.33</v>
      </c>
      <c r="BG49" s="62">
        <v>7.46</v>
      </c>
      <c r="BI49" s="3">
        <v>43800</v>
      </c>
      <c r="BJ49" s="4">
        <v>71.156700000000001</v>
      </c>
    </row>
    <row r="50" spans="1:62" x14ac:dyDescent="0.25">
      <c r="A50" s="65">
        <v>42438</v>
      </c>
      <c r="B50" s="66">
        <v>7531.8</v>
      </c>
      <c r="C50" s="66">
        <v>7436.1</v>
      </c>
      <c r="D50" s="66">
        <v>7539</v>
      </c>
      <c r="E50" s="66">
        <v>7424.3</v>
      </c>
      <c r="F50" s="67" t="s">
        <v>2633</v>
      </c>
      <c r="G50" s="68">
        <v>6.1999999999999998E-3</v>
      </c>
      <c r="H50" s="64"/>
      <c r="I50" s="69">
        <v>43476</v>
      </c>
      <c r="J50" s="70">
        <v>12056.05</v>
      </c>
      <c r="K50" s="70">
        <v>11886.6</v>
      </c>
      <c r="L50" s="70">
        <v>12158.8</v>
      </c>
      <c r="M50" s="70">
        <v>11802.65</v>
      </c>
      <c r="N50" s="61" t="s">
        <v>2752</v>
      </c>
      <c r="O50" s="71">
        <v>1.4999999999999999E-2</v>
      </c>
      <c r="P50" s="64"/>
      <c r="Q50" s="69">
        <v>43476</v>
      </c>
      <c r="R50" s="70">
        <v>3140.98</v>
      </c>
      <c r="S50" s="70">
        <v>3050.72</v>
      </c>
      <c r="T50" s="70">
        <v>3154.26</v>
      </c>
      <c r="U50" s="70">
        <v>3050.72</v>
      </c>
      <c r="V50" s="61"/>
      <c r="W50" s="71">
        <v>3.4000000000000002E-2</v>
      </c>
      <c r="X50" s="64"/>
      <c r="Y50" s="64"/>
      <c r="Z50" s="69">
        <v>43476</v>
      </c>
      <c r="AA50" s="72">
        <v>105193</v>
      </c>
      <c r="AB50" s="72">
        <v>107390</v>
      </c>
      <c r="AC50" s="72">
        <v>107581</v>
      </c>
      <c r="AD50" s="72">
        <v>103512</v>
      </c>
      <c r="AE50" s="61"/>
      <c r="AF50" s="71">
        <v>-2.0299999999999999E-2</v>
      </c>
      <c r="AG50" s="64"/>
      <c r="AH50" s="69">
        <v>43476</v>
      </c>
      <c r="AI50" s="72">
        <v>1463.9</v>
      </c>
      <c r="AJ50" s="72">
        <v>1513.32</v>
      </c>
      <c r="AK50" s="72">
        <v>1515.81</v>
      </c>
      <c r="AL50" s="72">
        <v>1445.61</v>
      </c>
      <c r="AM50" s="61"/>
      <c r="AN50" s="71">
        <v>-3.2599999999999997E-2</v>
      </c>
      <c r="AY50" s="60">
        <v>43831</v>
      </c>
      <c r="AZ50" s="61">
        <v>2020</v>
      </c>
      <c r="BA50" s="61">
        <v>1</v>
      </c>
      <c r="BB50" s="62">
        <v>79.099999999999994</v>
      </c>
      <c r="BC50" s="61">
        <v>79.3</v>
      </c>
      <c r="BD50" s="61">
        <v>78.8</v>
      </c>
      <c r="BE50" s="62">
        <v>7.59</v>
      </c>
      <c r="BF50" s="62">
        <v>7.73</v>
      </c>
      <c r="BG50" s="62">
        <v>7.39</v>
      </c>
      <c r="BI50" s="3">
        <v>43831</v>
      </c>
      <c r="BJ50" s="4">
        <v>71.278999999999996</v>
      </c>
    </row>
    <row r="51" spans="1:62" x14ac:dyDescent="0.25">
      <c r="A51" s="65">
        <v>42439</v>
      </c>
      <c r="B51" s="66">
        <v>7486.15</v>
      </c>
      <c r="C51" s="66">
        <v>7545.35</v>
      </c>
      <c r="D51" s="66">
        <v>7547.1</v>
      </c>
      <c r="E51" s="66">
        <v>7447.4</v>
      </c>
      <c r="F51" s="67" t="s">
        <v>2632</v>
      </c>
      <c r="G51" s="68">
        <v>-6.1000000000000004E-3</v>
      </c>
      <c r="H51" s="64"/>
      <c r="I51" s="69">
        <v>43477</v>
      </c>
      <c r="J51" s="70">
        <v>12168.45</v>
      </c>
      <c r="K51" s="70">
        <v>12137.05</v>
      </c>
      <c r="L51" s="70">
        <v>12293.9</v>
      </c>
      <c r="M51" s="70">
        <v>11832.3</v>
      </c>
      <c r="N51" s="61" t="s">
        <v>2751</v>
      </c>
      <c r="O51" s="71">
        <v>9.2999999999999992E-3</v>
      </c>
      <c r="P51" s="64"/>
      <c r="Q51" s="69">
        <v>43477</v>
      </c>
      <c r="R51" s="70">
        <v>3230.78</v>
      </c>
      <c r="S51" s="70">
        <v>3143.85</v>
      </c>
      <c r="T51" s="70">
        <v>3247.93</v>
      </c>
      <c r="U51" s="70">
        <v>3070.33</v>
      </c>
      <c r="V51" s="61"/>
      <c r="W51" s="71">
        <v>2.86E-2</v>
      </c>
      <c r="X51" s="64"/>
      <c r="Y51" s="64"/>
      <c r="Z51" s="69">
        <v>43477</v>
      </c>
      <c r="AA51" s="72">
        <v>108239</v>
      </c>
      <c r="AB51" s="72">
        <v>105258</v>
      </c>
      <c r="AC51" s="72">
        <v>108850</v>
      </c>
      <c r="AD51" s="72">
        <v>103207</v>
      </c>
      <c r="AE51" s="61"/>
      <c r="AF51" s="71">
        <v>2.9000000000000001E-2</v>
      </c>
      <c r="AG51" s="64"/>
      <c r="AH51" s="69">
        <v>43477</v>
      </c>
      <c r="AI51" s="72">
        <v>1517.01</v>
      </c>
      <c r="AJ51" s="72">
        <v>1467.03</v>
      </c>
      <c r="AK51" s="72">
        <v>1525.45</v>
      </c>
      <c r="AL51" s="72">
        <v>1453.91</v>
      </c>
      <c r="AM51" s="61"/>
      <c r="AN51" s="71">
        <v>3.6299999999999999E-2</v>
      </c>
      <c r="AY51" s="60">
        <v>43862</v>
      </c>
      <c r="AZ51" s="61">
        <v>2020</v>
      </c>
      <c r="BA51" s="61">
        <v>2</v>
      </c>
      <c r="BB51" s="62">
        <v>78.5</v>
      </c>
      <c r="BC51" s="61">
        <v>78.5</v>
      </c>
      <c r="BD51" s="61">
        <v>78.599999999999994</v>
      </c>
      <c r="BE51" s="62">
        <v>6.58</v>
      </c>
      <c r="BF51" s="62">
        <v>6.67</v>
      </c>
      <c r="BG51" s="62">
        <v>6.57</v>
      </c>
      <c r="BI51" s="3">
        <v>43862</v>
      </c>
      <c r="BJ51" s="4">
        <v>71.529499999999999</v>
      </c>
    </row>
    <row r="52" spans="1:62" x14ac:dyDescent="0.25">
      <c r="A52" s="65">
        <v>42440</v>
      </c>
      <c r="B52" s="66">
        <v>7510.2</v>
      </c>
      <c r="C52" s="66">
        <v>7484.85</v>
      </c>
      <c r="D52" s="66">
        <v>7543.95</v>
      </c>
      <c r="E52" s="66">
        <v>7460.6</v>
      </c>
      <c r="F52" s="67" t="s">
        <v>2631</v>
      </c>
      <c r="G52" s="68">
        <v>3.2000000000000002E-3</v>
      </c>
      <c r="H52" s="64"/>
      <c r="I52" s="69">
        <v>43831</v>
      </c>
      <c r="J52" s="70">
        <v>11962.1</v>
      </c>
      <c r="K52" s="70">
        <v>12202.15</v>
      </c>
      <c r="L52" s="70">
        <v>12430.5</v>
      </c>
      <c r="M52" s="70">
        <v>11929.6</v>
      </c>
      <c r="N52" s="61" t="s">
        <v>2750</v>
      </c>
      <c r="O52" s="71">
        <v>-1.7000000000000001E-2</v>
      </c>
      <c r="P52" s="64"/>
      <c r="Q52" s="69">
        <v>43831</v>
      </c>
      <c r="R52" s="70">
        <v>3225.52</v>
      </c>
      <c r="S52" s="70">
        <v>3244.67</v>
      </c>
      <c r="T52" s="70">
        <v>3337.77</v>
      </c>
      <c r="U52" s="70">
        <v>3214.64</v>
      </c>
      <c r="V52" s="61"/>
      <c r="W52" s="71">
        <v>-1.6000000000000001E-3</v>
      </c>
      <c r="X52" s="64"/>
      <c r="Y52" s="64"/>
      <c r="Z52" s="69">
        <v>43831</v>
      </c>
      <c r="AA52" s="72">
        <v>113735</v>
      </c>
      <c r="AB52" s="72">
        <v>108267</v>
      </c>
      <c r="AC52" s="72">
        <v>115753</v>
      </c>
      <c r="AD52" s="72">
        <v>108062</v>
      </c>
      <c r="AE52" s="61"/>
      <c r="AF52" s="71">
        <v>5.0799999999999998E-2</v>
      </c>
      <c r="AG52" s="64"/>
      <c r="AH52" s="69">
        <v>43831</v>
      </c>
      <c r="AI52" s="72">
        <v>1589.81</v>
      </c>
      <c r="AJ52" s="72">
        <v>1517.24</v>
      </c>
      <c r="AK52" s="72">
        <v>1611.15</v>
      </c>
      <c r="AL52" s="72">
        <v>1517.12</v>
      </c>
      <c r="AM52" s="61"/>
      <c r="AN52" s="71">
        <v>4.8000000000000001E-2</v>
      </c>
      <c r="AY52" s="60">
        <v>43891</v>
      </c>
      <c r="AZ52" s="61">
        <v>2020</v>
      </c>
      <c r="BA52" s="61">
        <v>3</v>
      </c>
      <c r="BB52" s="62">
        <v>78.3</v>
      </c>
      <c r="BC52" s="61">
        <v>78.2</v>
      </c>
      <c r="BD52" s="61">
        <v>78.400000000000006</v>
      </c>
      <c r="BE52" s="62">
        <v>5.84</v>
      </c>
      <c r="BF52" s="62">
        <v>6.09</v>
      </c>
      <c r="BG52" s="62">
        <v>5.59</v>
      </c>
      <c r="BI52" s="3">
        <v>43891</v>
      </c>
      <c r="BJ52" s="4">
        <v>74.548199999999994</v>
      </c>
    </row>
    <row r="53" spans="1:62" x14ac:dyDescent="0.25">
      <c r="A53" s="65">
        <v>42443</v>
      </c>
      <c r="B53" s="66">
        <v>7538.75</v>
      </c>
      <c r="C53" s="66">
        <v>7542.6</v>
      </c>
      <c r="D53" s="66">
        <v>7583.7</v>
      </c>
      <c r="E53" s="66">
        <v>7515.05</v>
      </c>
      <c r="F53" s="67" t="s">
        <v>2630</v>
      </c>
      <c r="G53" s="68">
        <v>3.8E-3</v>
      </c>
      <c r="H53" s="64"/>
      <c r="I53" s="69">
        <v>43832</v>
      </c>
      <c r="J53" s="70">
        <v>11201.75</v>
      </c>
      <c r="K53" s="70">
        <v>11939</v>
      </c>
      <c r="L53" s="70">
        <v>12246.7</v>
      </c>
      <c r="M53" s="70">
        <v>11175.05</v>
      </c>
      <c r="N53" s="61" t="s">
        <v>2749</v>
      </c>
      <c r="O53" s="71">
        <v>-6.3600000000000004E-2</v>
      </c>
      <c r="P53" s="64"/>
      <c r="Q53" s="69">
        <v>43832</v>
      </c>
      <c r="R53" s="70">
        <v>2954.22</v>
      </c>
      <c r="S53" s="70">
        <v>3235.66</v>
      </c>
      <c r="T53" s="70">
        <v>3393.52</v>
      </c>
      <c r="U53" s="70">
        <v>2855.84</v>
      </c>
      <c r="V53" s="61"/>
      <c r="W53" s="71">
        <v>-8.4099999999999994E-2</v>
      </c>
      <c r="X53" s="64"/>
      <c r="Y53" s="64"/>
      <c r="Z53" s="69">
        <v>43832</v>
      </c>
      <c r="AA53" s="72">
        <v>114948</v>
      </c>
      <c r="AB53" s="72">
        <v>113747</v>
      </c>
      <c r="AC53" s="72">
        <v>121428</v>
      </c>
      <c r="AD53" s="72">
        <v>110167</v>
      </c>
      <c r="AE53" s="61"/>
      <c r="AF53" s="71">
        <v>1.0699999999999999E-2</v>
      </c>
      <c r="AG53" s="64"/>
      <c r="AH53" s="69">
        <v>43832</v>
      </c>
      <c r="AI53" s="72">
        <v>1584.74</v>
      </c>
      <c r="AJ53" s="72">
        <v>1590.2</v>
      </c>
      <c r="AK53" s="72">
        <v>1689.11</v>
      </c>
      <c r="AL53" s="72">
        <v>1547.4</v>
      </c>
      <c r="AM53" s="61"/>
      <c r="AN53" s="71">
        <v>-3.2000000000000002E-3</v>
      </c>
      <c r="AY53" s="60">
        <v>43922</v>
      </c>
      <c r="AZ53" s="61">
        <v>2020</v>
      </c>
      <c r="BA53" s="61">
        <v>4</v>
      </c>
      <c r="BB53" s="62">
        <v>79.7</v>
      </c>
      <c r="BC53" s="61">
        <v>79.3</v>
      </c>
      <c r="BD53" s="61">
        <v>80.3</v>
      </c>
      <c r="BE53" s="62">
        <v>7.22</v>
      </c>
      <c r="BF53" s="62">
        <v>7.2</v>
      </c>
      <c r="BG53" s="62">
        <v>7.33</v>
      </c>
      <c r="BI53" s="3">
        <v>43922</v>
      </c>
      <c r="BJ53" s="4">
        <v>76.168199999999999</v>
      </c>
    </row>
    <row r="54" spans="1:62" x14ac:dyDescent="0.25">
      <c r="A54" s="65">
        <v>42444</v>
      </c>
      <c r="B54" s="66">
        <v>7460.6</v>
      </c>
      <c r="C54" s="66">
        <v>7535.85</v>
      </c>
      <c r="D54" s="66">
        <v>7545.2</v>
      </c>
      <c r="E54" s="66">
        <v>7452.8</v>
      </c>
      <c r="F54" s="67" t="s">
        <v>2629</v>
      </c>
      <c r="G54" s="68">
        <v>-1.04E-2</v>
      </c>
      <c r="H54" s="64"/>
      <c r="I54" s="69">
        <v>43833</v>
      </c>
      <c r="J54" s="70">
        <v>8597.75</v>
      </c>
      <c r="K54" s="70">
        <v>11387.35</v>
      </c>
      <c r="L54" s="70">
        <v>11433</v>
      </c>
      <c r="M54" s="70">
        <v>7511.1</v>
      </c>
      <c r="N54" s="61" t="s">
        <v>2748</v>
      </c>
      <c r="O54" s="71">
        <v>-0.23250000000000001</v>
      </c>
      <c r="P54" s="64"/>
      <c r="Q54" s="69">
        <v>43833</v>
      </c>
      <c r="R54" s="70">
        <v>2584.59</v>
      </c>
      <c r="S54" s="70">
        <v>2974.28</v>
      </c>
      <c r="T54" s="70">
        <v>3136.72</v>
      </c>
      <c r="U54" s="70">
        <v>2191.86</v>
      </c>
      <c r="V54" s="61"/>
      <c r="W54" s="71">
        <v>-0.12509999999999999</v>
      </c>
      <c r="X54" s="64"/>
      <c r="Y54" s="64"/>
      <c r="Z54" s="69">
        <v>43833</v>
      </c>
      <c r="AA54" s="72">
        <v>118375</v>
      </c>
      <c r="AB54" s="72">
        <v>115417</v>
      </c>
      <c r="AC54" s="72">
        <v>126028</v>
      </c>
      <c r="AD54" s="72">
        <v>107734</v>
      </c>
      <c r="AE54" s="61"/>
      <c r="AF54" s="71">
        <v>2.98E-2</v>
      </c>
      <c r="AG54" s="64"/>
      <c r="AH54" s="69">
        <v>43833</v>
      </c>
      <c r="AI54" s="72">
        <v>1571.05</v>
      </c>
      <c r="AJ54" s="72">
        <v>1591.1</v>
      </c>
      <c r="AK54" s="72">
        <v>1702.96</v>
      </c>
      <c r="AL54" s="72">
        <v>1451.5</v>
      </c>
      <c r="AM54" s="61"/>
      <c r="AN54" s="71">
        <v>-8.6E-3</v>
      </c>
      <c r="AY54" s="60">
        <v>43952</v>
      </c>
      <c r="AZ54" s="61">
        <v>2020</v>
      </c>
      <c r="BA54" s="61">
        <v>5</v>
      </c>
      <c r="BB54" s="62">
        <v>79.5</v>
      </c>
      <c r="BC54" s="61">
        <v>79</v>
      </c>
      <c r="BD54" s="61">
        <v>80.099999999999994</v>
      </c>
      <c r="BE54" s="62">
        <v>6.27</v>
      </c>
      <c r="BF54" s="62">
        <v>6.18</v>
      </c>
      <c r="BG54" s="62">
        <v>6.43</v>
      </c>
      <c r="BI54" s="3">
        <v>43952</v>
      </c>
      <c r="BJ54" s="4">
        <v>75.657499999999999</v>
      </c>
    </row>
    <row r="55" spans="1:62" x14ac:dyDescent="0.25">
      <c r="A55" s="65">
        <v>42445</v>
      </c>
      <c r="B55" s="66">
        <v>7498.75</v>
      </c>
      <c r="C55" s="66">
        <v>7457.05</v>
      </c>
      <c r="D55" s="66">
        <v>7508</v>
      </c>
      <c r="E55" s="66">
        <v>7405.15</v>
      </c>
      <c r="F55" s="67" t="s">
        <v>2628</v>
      </c>
      <c r="G55" s="68">
        <v>5.1000000000000004E-3</v>
      </c>
      <c r="H55" s="64"/>
      <c r="I55" s="69">
        <v>43834</v>
      </c>
      <c r="J55" s="70">
        <v>9859.9</v>
      </c>
      <c r="K55" s="70">
        <v>8584.1</v>
      </c>
      <c r="L55" s="70">
        <v>9889.0499999999993</v>
      </c>
      <c r="M55" s="70">
        <v>8055.8</v>
      </c>
      <c r="N55" s="61" t="s">
        <v>2747</v>
      </c>
      <c r="O55" s="71">
        <v>0.14680000000000001</v>
      </c>
      <c r="P55" s="64"/>
      <c r="Q55" s="69">
        <v>43834</v>
      </c>
      <c r="R55" s="70">
        <v>2912.43</v>
      </c>
      <c r="S55" s="70">
        <v>2498.08</v>
      </c>
      <c r="T55" s="70">
        <v>2954.86</v>
      </c>
      <c r="U55" s="70">
        <v>2447.4899999999998</v>
      </c>
      <c r="V55" s="61"/>
      <c r="W55" s="71">
        <v>0.1268</v>
      </c>
      <c r="X55" s="64"/>
      <c r="Y55" s="64"/>
      <c r="Z55" s="69">
        <v>43834</v>
      </c>
      <c r="AA55" s="72">
        <v>126568</v>
      </c>
      <c r="AB55" s="72">
        <v>118851</v>
      </c>
      <c r="AC55" s="72">
        <v>133751</v>
      </c>
      <c r="AD55" s="72">
        <v>117955</v>
      </c>
      <c r="AE55" s="61"/>
      <c r="AF55" s="71">
        <v>6.9199999999999998E-2</v>
      </c>
      <c r="AG55" s="64"/>
      <c r="AH55" s="69">
        <v>43834</v>
      </c>
      <c r="AI55" s="72">
        <v>1680.09</v>
      </c>
      <c r="AJ55" s="72">
        <v>1571</v>
      </c>
      <c r="AK55" s="72">
        <v>1747.85</v>
      </c>
      <c r="AL55" s="72">
        <v>1566.97</v>
      </c>
      <c r="AM55" s="61"/>
      <c r="AN55" s="71">
        <v>6.9400000000000003E-2</v>
      </c>
      <c r="AY55" s="60">
        <v>43983</v>
      </c>
      <c r="AZ55" s="61">
        <v>2020</v>
      </c>
      <c r="BA55" s="61">
        <v>6</v>
      </c>
      <c r="BB55" s="62">
        <v>80</v>
      </c>
      <c r="BC55" s="61">
        <v>79.7</v>
      </c>
      <c r="BD55" s="61">
        <v>80.2</v>
      </c>
      <c r="BE55" s="62">
        <v>6.23</v>
      </c>
      <c r="BF55" s="62">
        <v>6.34</v>
      </c>
      <c r="BG55" s="62">
        <v>6.12</v>
      </c>
      <c r="BI55" s="3">
        <v>43983</v>
      </c>
      <c r="BJ55" s="4">
        <v>75.707700000000003</v>
      </c>
    </row>
    <row r="56" spans="1:62" x14ac:dyDescent="0.25">
      <c r="A56" s="65">
        <v>42446</v>
      </c>
      <c r="B56" s="66">
        <v>7512.55</v>
      </c>
      <c r="C56" s="66">
        <v>7557.4</v>
      </c>
      <c r="D56" s="66">
        <v>7585.3</v>
      </c>
      <c r="E56" s="66">
        <v>7479.4</v>
      </c>
      <c r="F56" s="67" t="s">
        <v>2627</v>
      </c>
      <c r="G56" s="68">
        <v>1.8E-3</v>
      </c>
      <c r="H56" s="64"/>
      <c r="I56" s="69">
        <v>43835</v>
      </c>
      <c r="J56" s="70">
        <v>9580.2999999999993</v>
      </c>
      <c r="K56" s="70">
        <v>9533.5</v>
      </c>
      <c r="L56" s="70">
        <v>9598.85</v>
      </c>
      <c r="M56" s="70">
        <v>8806.75</v>
      </c>
      <c r="N56" s="61" t="s">
        <v>2746</v>
      </c>
      <c r="O56" s="71">
        <v>-2.8400000000000002E-2</v>
      </c>
      <c r="P56" s="64"/>
      <c r="Q56" s="69">
        <v>43835</v>
      </c>
      <c r="R56" s="70">
        <v>3044.31</v>
      </c>
      <c r="S56" s="70">
        <v>2869.09</v>
      </c>
      <c r="T56" s="70">
        <v>3068.67</v>
      </c>
      <c r="U56" s="70">
        <v>2766.64</v>
      </c>
      <c r="V56" s="61"/>
      <c r="W56" s="71">
        <v>4.53E-2</v>
      </c>
      <c r="X56" s="64"/>
      <c r="Y56" s="64"/>
      <c r="Z56" s="69">
        <v>43835</v>
      </c>
      <c r="AA56" s="72">
        <v>130734</v>
      </c>
      <c r="AB56" s="72">
        <v>126669</v>
      </c>
      <c r="AC56" s="72">
        <v>134233</v>
      </c>
      <c r="AD56" s="72">
        <v>126303</v>
      </c>
      <c r="AE56" s="61"/>
      <c r="AF56" s="71">
        <v>3.2899999999999999E-2</v>
      </c>
      <c r="AG56" s="64"/>
      <c r="AH56" s="69">
        <v>43835</v>
      </c>
      <c r="AI56" s="72">
        <v>1726.3</v>
      </c>
      <c r="AJ56" s="72">
        <v>1685.95</v>
      </c>
      <c r="AK56" s="72">
        <v>1765.94</v>
      </c>
      <c r="AL56" s="72">
        <v>1670.06</v>
      </c>
      <c r="AM56" s="61"/>
      <c r="AN56" s="71">
        <v>2.75E-2</v>
      </c>
      <c r="AY56" s="60">
        <v>44013</v>
      </c>
      <c r="AZ56" s="61">
        <v>2020</v>
      </c>
      <c r="BA56" s="61">
        <v>7</v>
      </c>
      <c r="BB56" s="62">
        <v>81.099999999999994</v>
      </c>
      <c r="BC56" s="61">
        <v>80.8</v>
      </c>
      <c r="BD56" s="61">
        <v>81.3</v>
      </c>
      <c r="BE56" s="62">
        <v>6.73</v>
      </c>
      <c r="BF56" s="62">
        <v>6.76</v>
      </c>
      <c r="BG56" s="62">
        <v>6.7</v>
      </c>
      <c r="BI56" s="3">
        <v>44013</v>
      </c>
      <c r="BJ56" s="4">
        <v>74.928600000000003</v>
      </c>
    </row>
    <row r="57" spans="1:62" x14ac:dyDescent="0.25">
      <c r="A57" s="65">
        <v>42447</v>
      </c>
      <c r="B57" s="66">
        <v>7604.35</v>
      </c>
      <c r="C57" s="66">
        <v>7534.65</v>
      </c>
      <c r="D57" s="66">
        <v>7613.6</v>
      </c>
      <c r="E57" s="66">
        <v>7517.9</v>
      </c>
      <c r="F57" s="67" t="s">
        <v>2626</v>
      </c>
      <c r="G57" s="68">
        <v>1.2200000000000001E-2</v>
      </c>
      <c r="H57" s="64"/>
      <c r="I57" s="69">
        <v>43836</v>
      </c>
      <c r="J57" s="70">
        <v>10302.1</v>
      </c>
      <c r="K57" s="70">
        <v>9726.85</v>
      </c>
      <c r="L57" s="70">
        <v>10553.15</v>
      </c>
      <c r="M57" s="70">
        <v>9544.35</v>
      </c>
      <c r="N57" s="61" t="s">
        <v>2745</v>
      </c>
      <c r="O57" s="71">
        <v>7.5300000000000006E-2</v>
      </c>
      <c r="P57" s="64"/>
      <c r="Q57" s="69">
        <v>43836</v>
      </c>
      <c r="R57" s="70">
        <v>3100.29</v>
      </c>
      <c r="S57" s="70">
        <v>3038.78</v>
      </c>
      <c r="T57" s="70">
        <v>3233.13</v>
      </c>
      <c r="U57" s="70">
        <v>2965.66</v>
      </c>
      <c r="V57" s="61"/>
      <c r="W57" s="71">
        <v>1.84E-2</v>
      </c>
      <c r="X57" s="64"/>
      <c r="Y57" s="64"/>
      <c r="Z57" s="69">
        <v>43836</v>
      </c>
      <c r="AA57" s="72">
        <v>134468</v>
      </c>
      <c r="AB57" s="72">
        <v>131477</v>
      </c>
      <c r="AC57" s="72">
        <v>134909</v>
      </c>
      <c r="AD57" s="72">
        <v>126486</v>
      </c>
      <c r="AE57" s="61"/>
      <c r="AF57" s="71">
        <v>2.86E-2</v>
      </c>
      <c r="AG57" s="64"/>
      <c r="AH57" s="69">
        <v>43836</v>
      </c>
      <c r="AI57" s="72">
        <v>1780.67</v>
      </c>
      <c r="AJ57" s="72">
        <v>1738.05</v>
      </c>
      <c r="AK57" s="72">
        <v>1786.02</v>
      </c>
      <c r="AL57" s="72">
        <v>1670.74</v>
      </c>
      <c r="AM57" s="61"/>
      <c r="AN57" s="71">
        <v>3.15E-2</v>
      </c>
      <c r="AY57" s="60">
        <v>44044</v>
      </c>
      <c r="AZ57" s="61">
        <v>2020</v>
      </c>
      <c r="BA57" s="61">
        <v>8</v>
      </c>
      <c r="BB57" s="62">
        <v>81.5</v>
      </c>
      <c r="BC57" s="61">
        <v>81.099999999999994</v>
      </c>
      <c r="BD57" s="61">
        <v>81.900000000000006</v>
      </c>
      <c r="BE57" s="62">
        <v>6.69</v>
      </c>
      <c r="BF57" s="62">
        <v>6.66</v>
      </c>
      <c r="BG57" s="62">
        <v>6.8</v>
      </c>
      <c r="BI57" s="3">
        <v>44044</v>
      </c>
      <c r="BJ57" s="4">
        <v>74.565700000000007</v>
      </c>
    </row>
    <row r="58" spans="1:62" x14ac:dyDescent="0.25">
      <c r="A58" s="65">
        <v>42450</v>
      </c>
      <c r="B58" s="66">
        <v>7704.25</v>
      </c>
      <c r="C58" s="66">
        <v>7619.2</v>
      </c>
      <c r="D58" s="66">
        <v>7713.55</v>
      </c>
      <c r="E58" s="66">
        <v>7617.7</v>
      </c>
      <c r="F58" s="67" t="s">
        <v>2625</v>
      </c>
      <c r="G58" s="68">
        <v>1.3100000000000001E-2</v>
      </c>
      <c r="H58" s="64"/>
      <c r="I58" s="69">
        <v>43837</v>
      </c>
      <c r="J58" s="70">
        <v>11073.45</v>
      </c>
      <c r="K58" s="70">
        <v>10323.799999999999</v>
      </c>
      <c r="L58" s="70">
        <v>11341.4</v>
      </c>
      <c r="M58" s="70">
        <v>10299.6</v>
      </c>
      <c r="N58" s="61" t="s">
        <v>2744</v>
      </c>
      <c r="O58" s="71">
        <v>7.4899999999999994E-2</v>
      </c>
      <c r="P58" s="64"/>
      <c r="Q58" s="69">
        <v>43837</v>
      </c>
      <c r="R58" s="70">
        <v>3271.12</v>
      </c>
      <c r="S58" s="70">
        <v>3105.92</v>
      </c>
      <c r="T58" s="70">
        <v>3279.99</v>
      </c>
      <c r="U58" s="70">
        <v>3101.17</v>
      </c>
      <c r="V58" s="61"/>
      <c r="W58" s="71">
        <v>5.5100000000000003E-2</v>
      </c>
      <c r="X58" s="64"/>
      <c r="Y58" s="64"/>
      <c r="Z58" s="69">
        <v>43837</v>
      </c>
      <c r="AA58" s="72">
        <v>147959</v>
      </c>
      <c r="AB58" s="72">
        <v>134565</v>
      </c>
      <c r="AC58" s="72">
        <v>148457</v>
      </c>
      <c r="AD58" s="72">
        <v>131365</v>
      </c>
      <c r="AE58" s="61"/>
      <c r="AF58" s="71">
        <v>0.1003</v>
      </c>
      <c r="AG58" s="64"/>
      <c r="AH58" s="69">
        <v>43837</v>
      </c>
      <c r="AI58" s="72">
        <v>1974.69</v>
      </c>
      <c r="AJ58" s="72">
        <v>1781.6</v>
      </c>
      <c r="AK58" s="72">
        <v>1981.22</v>
      </c>
      <c r="AL58" s="72">
        <v>1757.68</v>
      </c>
      <c r="AM58" s="61"/>
      <c r="AN58" s="71">
        <v>0.109</v>
      </c>
      <c r="AY58" s="60">
        <v>44075</v>
      </c>
      <c r="AZ58" s="61">
        <v>2020</v>
      </c>
      <c r="BA58" s="61">
        <v>9</v>
      </c>
      <c r="BB58" s="62">
        <v>82.4</v>
      </c>
      <c r="BC58" s="61">
        <v>82.2</v>
      </c>
      <c r="BD58" s="61">
        <v>82.6</v>
      </c>
      <c r="BE58" s="62">
        <v>7.27</v>
      </c>
      <c r="BF58" s="62">
        <v>7.36</v>
      </c>
      <c r="BG58" s="62">
        <v>7.26</v>
      </c>
      <c r="BI58" s="3">
        <v>44075</v>
      </c>
      <c r="BJ58" s="4">
        <v>73.523300000000006</v>
      </c>
    </row>
    <row r="59" spans="1:62" x14ac:dyDescent="0.25">
      <c r="A59" s="65">
        <v>42451</v>
      </c>
      <c r="B59" s="66">
        <v>7714.9</v>
      </c>
      <c r="C59" s="66">
        <v>7695.55</v>
      </c>
      <c r="D59" s="66">
        <v>7728.2</v>
      </c>
      <c r="E59" s="66">
        <v>7643.8</v>
      </c>
      <c r="F59" s="67" t="s">
        <v>2624</v>
      </c>
      <c r="G59" s="68">
        <v>1.4E-3</v>
      </c>
      <c r="H59" s="64"/>
      <c r="I59" s="69">
        <v>43838</v>
      </c>
      <c r="J59" s="70">
        <v>11387.5</v>
      </c>
      <c r="K59" s="70">
        <v>11057.55</v>
      </c>
      <c r="L59" s="70">
        <v>11794.25</v>
      </c>
      <c r="M59" s="70">
        <v>10882.25</v>
      </c>
      <c r="N59" s="61" t="s">
        <v>2743</v>
      </c>
      <c r="O59" s="71">
        <v>2.8400000000000002E-2</v>
      </c>
      <c r="P59" s="64"/>
      <c r="Q59" s="69">
        <v>43838</v>
      </c>
      <c r="R59" s="70">
        <v>3500.31</v>
      </c>
      <c r="S59" s="70">
        <v>3288.26</v>
      </c>
      <c r="T59" s="70">
        <v>3514.77</v>
      </c>
      <c r="U59" s="70">
        <v>3284.53</v>
      </c>
      <c r="V59" s="61"/>
      <c r="W59" s="71">
        <v>7.0099999999999996E-2</v>
      </c>
      <c r="X59" s="64"/>
      <c r="Y59" s="64"/>
      <c r="Z59" s="69">
        <v>43838</v>
      </c>
      <c r="AA59" s="72">
        <v>144118</v>
      </c>
      <c r="AB59" s="72">
        <v>148030</v>
      </c>
      <c r="AC59" s="72">
        <v>155298</v>
      </c>
      <c r="AD59" s="72">
        <v>139166</v>
      </c>
      <c r="AE59" s="61"/>
      <c r="AF59" s="71">
        <v>-2.5999999999999999E-2</v>
      </c>
      <c r="AG59" s="64"/>
      <c r="AH59" s="69">
        <v>43838</v>
      </c>
      <c r="AI59" s="72">
        <v>1969.75</v>
      </c>
      <c r="AJ59" s="72">
        <v>1980.98</v>
      </c>
      <c r="AK59" s="72">
        <v>2073.41</v>
      </c>
      <c r="AL59" s="72">
        <v>1864.3</v>
      </c>
      <c r="AM59" s="61"/>
      <c r="AN59" s="71">
        <v>-2.5000000000000001E-3</v>
      </c>
      <c r="AY59" s="60">
        <v>44105</v>
      </c>
      <c r="AZ59" s="61">
        <v>2020</v>
      </c>
      <c r="BA59" s="61">
        <v>10</v>
      </c>
      <c r="BB59" s="62">
        <v>83.4</v>
      </c>
      <c r="BC59" s="61">
        <v>83.4</v>
      </c>
      <c r="BD59" s="61">
        <v>83.4</v>
      </c>
      <c r="BE59" s="62">
        <v>7.61</v>
      </c>
      <c r="BF59" s="62">
        <v>7.75</v>
      </c>
      <c r="BG59" s="62">
        <v>7.33</v>
      </c>
      <c r="BI59" s="3">
        <v>44105</v>
      </c>
      <c r="BJ59" s="4">
        <v>73.564800000000005</v>
      </c>
    </row>
    <row r="60" spans="1:62" x14ac:dyDescent="0.25">
      <c r="A60" s="65">
        <v>42452</v>
      </c>
      <c r="B60" s="66">
        <v>7716.5</v>
      </c>
      <c r="C60" s="66">
        <v>7717.45</v>
      </c>
      <c r="D60" s="66">
        <v>7726.85</v>
      </c>
      <c r="E60" s="66">
        <v>7670.6</v>
      </c>
      <c r="F60" s="67" t="s">
        <v>2623</v>
      </c>
      <c r="G60" s="68">
        <v>2.0000000000000001E-4</v>
      </c>
      <c r="H60" s="64"/>
      <c r="I60" s="69">
        <v>43839</v>
      </c>
      <c r="J60" s="70">
        <v>11247.55</v>
      </c>
      <c r="K60" s="70">
        <v>11464.3</v>
      </c>
      <c r="L60" s="70">
        <v>11618.1</v>
      </c>
      <c r="M60" s="70">
        <v>10790.2</v>
      </c>
      <c r="N60" s="61" t="s">
        <v>2742</v>
      </c>
      <c r="O60" s="71">
        <v>-1.23E-2</v>
      </c>
      <c r="P60" s="64"/>
      <c r="Q60" s="69">
        <v>43839</v>
      </c>
      <c r="R60" s="70">
        <v>3363</v>
      </c>
      <c r="S60" s="70">
        <v>3507.44</v>
      </c>
      <c r="T60" s="70">
        <v>3588.11</v>
      </c>
      <c r="U60" s="70">
        <v>3209.45</v>
      </c>
      <c r="V60" s="61"/>
      <c r="W60" s="71">
        <v>-3.9199999999999999E-2</v>
      </c>
      <c r="X60" s="64"/>
      <c r="Y60" s="64"/>
      <c r="Z60" s="69">
        <v>43839</v>
      </c>
      <c r="AA60" s="72">
        <v>138702</v>
      </c>
      <c r="AB60" s="72">
        <v>144157</v>
      </c>
      <c r="AC60" s="72">
        <v>145747</v>
      </c>
      <c r="AD60" s="72">
        <v>136301</v>
      </c>
      <c r="AE60" s="61"/>
      <c r="AF60" s="71">
        <v>-3.7600000000000001E-2</v>
      </c>
      <c r="AG60" s="64"/>
      <c r="AH60" s="69">
        <v>43839</v>
      </c>
      <c r="AI60" s="72">
        <v>1885.44</v>
      </c>
      <c r="AJ60" s="72">
        <v>1967.63</v>
      </c>
      <c r="AK60" s="72">
        <v>1992.38</v>
      </c>
      <c r="AL60" s="72">
        <v>1848.45</v>
      </c>
      <c r="AM60" s="61"/>
      <c r="AN60" s="71">
        <v>-4.2799999999999998E-2</v>
      </c>
      <c r="AY60" s="60">
        <v>44136</v>
      </c>
      <c r="AZ60" s="61">
        <v>2020</v>
      </c>
      <c r="BA60" s="61">
        <v>11</v>
      </c>
      <c r="BB60" s="62">
        <v>83.7</v>
      </c>
      <c r="BC60" s="61">
        <v>83.9</v>
      </c>
      <c r="BD60" s="61">
        <v>83.5</v>
      </c>
      <c r="BE60" s="62">
        <v>6.93</v>
      </c>
      <c r="BF60" s="62">
        <v>7.2</v>
      </c>
      <c r="BG60" s="62">
        <v>6.73</v>
      </c>
      <c r="BI60" s="3">
        <v>44136</v>
      </c>
      <c r="BJ60" s="4">
        <v>74.231099999999998</v>
      </c>
    </row>
    <row r="61" spans="1:62" x14ac:dyDescent="0.25">
      <c r="A61" s="65">
        <v>42457</v>
      </c>
      <c r="B61" s="66">
        <v>7615.1</v>
      </c>
      <c r="C61" s="66">
        <v>7741</v>
      </c>
      <c r="D61" s="66">
        <v>7749.4</v>
      </c>
      <c r="E61" s="66">
        <v>7587.7</v>
      </c>
      <c r="F61" s="67" t="s">
        <v>2622</v>
      </c>
      <c r="G61" s="68">
        <v>-1.3100000000000001E-2</v>
      </c>
      <c r="H61" s="64"/>
      <c r="I61" s="69">
        <v>43840</v>
      </c>
      <c r="J61" s="70">
        <v>11642.4</v>
      </c>
      <c r="K61" s="70">
        <v>11364.45</v>
      </c>
      <c r="L61" s="70">
        <v>12025.45</v>
      </c>
      <c r="M61" s="70">
        <v>11347.05</v>
      </c>
      <c r="N61" s="61" t="s">
        <v>2741</v>
      </c>
      <c r="O61" s="71">
        <v>3.5099999999999999E-2</v>
      </c>
      <c r="P61" s="64"/>
      <c r="Q61" s="69">
        <v>43840</v>
      </c>
      <c r="R61" s="70">
        <v>3269.96</v>
      </c>
      <c r="S61" s="70">
        <v>3385.87</v>
      </c>
      <c r="T61" s="70">
        <v>3549.85</v>
      </c>
      <c r="U61" s="70">
        <v>3233.94</v>
      </c>
      <c r="V61" s="61"/>
      <c r="W61" s="71">
        <v>-2.7699999999999999E-2</v>
      </c>
      <c r="X61" s="64"/>
      <c r="Y61" s="64"/>
      <c r="Z61" s="69">
        <v>43840</v>
      </c>
      <c r="AA61" s="72">
        <v>140049</v>
      </c>
      <c r="AB61" s="72">
        <v>138738</v>
      </c>
      <c r="AC61" s="72">
        <v>142141</v>
      </c>
      <c r="AD61" s="72">
        <v>137557</v>
      </c>
      <c r="AE61" s="61"/>
      <c r="AF61" s="71">
        <v>9.7000000000000003E-3</v>
      </c>
      <c r="AG61" s="64"/>
      <c r="AH61" s="69">
        <v>43840</v>
      </c>
      <c r="AI61" s="72">
        <v>1877.95</v>
      </c>
      <c r="AJ61" s="72">
        <v>1885.8</v>
      </c>
      <c r="AK61" s="72">
        <v>1933.45</v>
      </c>
      <c r="AL61" s="72">
        <v>1859.67</v>
      </c>
      <c r="AM61" s="61"/>
      <c r="AN61" s="71">
        <v>-4.0000000000000001E-3</v>
      </c>
      <c r="AY61" s="60">
        <v>44166</v>
      </c>
      <c r="AZ61" s="61">
        <v>2020</v>
      </c>
      <c r="BA61" s="61">
        <v>12</v>
      </c>
      <c r="BB61" s="62">
        <v>82.8</v>
      </c>
      <c r="BC61" s="61">
        <v>82.8</v>
      </c>
      <c r="BD61" s="61">
        <v>83</v>
      </c>
      <c r="BE61" s="62">
        <v>4.59</v>
      </c>
      <c r="BF61" s="62">
        <v>4.07</v>
      </c>
      <c r="BG61" s="62">
        <v>5.19</v>
      </c>
      <c r="BI61" s="3">
        <v>44166</v>
      </c>
      <c r="BJ61" s="4">
        <v>73.619500000000002</v>
      </c>
    </row>
    <row r="62" spans="1:62" x14ac:dyDescent="0.25">
      <c r="A62" s="65">
        <v>42458</v>
      </c>
      <c r="B62" s="66">
        <v>7597</v>
      </c>
      <c r="C62" s="66">
        <v>7606.55</v>
      </c>
      <c r="D62" s="66">
        <v>7652.9</v>
      </c>
      <c r="E62" s="66">
        <v>7582.25</v>
      </c>
      <c r="F62" s="67" t="s">
        <v>2621</v>
      </c>
      <c r="G62" s="68">
        <v>-2.3999999999999998E-3</v>
      </c>
      <c r="H62" s="64"/>
      <c r="I62" s="69">
        <v>43841</v>
      </c>
      <c r="J62" s="70">
        <v>12968.95</v>
      </c>
      <c r="K62" s="70">
        <v>11697.35</v>
      </c>
      <c r="L62" s="70">
        <v>13145.85</v>
      </c>
      <c r="M62" s="70">
        <v>11557.4</v>
      </c>
      <c r="N62" s="61" t="s">
        <v>2740</v>
      </c>
      <c r="O62" s="71">
        <v>0.1139</v>
      </c>
      <c r="P62" s="64"/>
      <c r="Q62" s="69">
        <v>43841</v>
      </c>
      <c r="R62" s="70">
        <v>3621.63</v>
      </c>
      <c r="S62" s="70">
        <v>3296.2</v>
      </c>
      <c r="T62" s="70">
        <v>3645.99</v>
      </c>
      <c r="U62" s="70">
        <v>3279.74</v>
      </c>
      <c r="V62" s="61"/>
      <c r="W62" s="71">
        <v>0.1075</v>
      </c>
      <c r="X62" s="64"/>
      <c r="Y62" s="64"/>
      <c r="Z62" s="69">
        <v>43841</v>
      </c>
      <c r="AA62" s="72">
        <v>131450</v>
      </c>
      <c r="AB62" s="72">
        <v>140108</v>
      </c>
      <c r="AC62" s="72">
        <v>145377</v>
      </c>
      <c r="AD62" s="72">
        <v>130463</v>
      </c>
      <c r="AE62" s="61"/>
      <c r="AF62" s="71">
        <v>-6.1400000000000003E-2</v>
      </c>
      <c r="AG62" s="64"/>
      <c r="AH62" s="69">
        <v>43841</v>
      </c>
      <c r="AI62" s="72">
        <v>1777.02</v>
      </c>
      <c r="AJ62" s="72">
        <v>1878.59</v>
      </c>
      <c r="AK62" s="72">
        <v>1965.92</v>
      </c>
      <c r="AL62" s="72">
        <v>1764.69</v>
      </c>
      <c r="AM62" s="61"/>
      <c r="AN62" s="71">
        <v>-5.3699999999999998E-2</v>
      </c>
      <c r="AY62" s="60">
        <v>44197</v>
      </c>
      <c r="AZ62" s="61">
        <v>2021</v>
      </c>
      <c r="BA62" s="61">
        <v>1</v>
      </c>
      <c r="BB62" s="62">
        <v>82.3</v>
      </c>
      <c r="BC62" s="61">
        <v>81.900000000000006</v>
      </c>
      <c r="BD62" s="61">
        <v>82.9</v>
      </c>
      <c r="BE62" s="62">
        <v>4.0599999999999996</v>
      </c>
      <c r="BF62" s="62">
        <v>3.23</v>
      </c>
      <c r="BG62" s="62">
        <v>5.13</v>
      </c>
      <c r="BI62" s="3">
        <v>44197</v>
      </c>
      <c r="BJ62" s="4">
        <v>73.110600000000005</v>
      </c>
    </row>
    <row r="63" spans="1:62" x14ac:dyDescent="0.25">
      <c r="A63" s="65">
        <v>42459</v>
      </c>
      <c r="B63" s="66">
        <v>7735.2</v>
      </c>
      <c r="C63" s="66">
        <v>7651.1</v>
      </c>
      <c r="D63" s="66">
        <v>7741.95</v>
      </c>
      <c r="E63" s="66">
        <v>7643.45</v>
      </c>
      <c r="F63" s="67" t="s">
        <v>2053</v>
      </c>
      <c r="G63" s="68">
        <v>1.8200000000000001E-2</v>
      </c>
      <c r="H63" s="64"/>
      <c r="I63" s="69">
        <v>43842</v>
      </c>
      <c r="J63" s="70">
        <v>13981.75</v>
      </c>
      <c r="K63" s="70">
        <v>13062.2</v>
      </c>
      <c r="L63" s="70">
        <v>14024.85</v>
      </c>
      <c r="M63" s="70">
        <v>12962.8</v>
      </c>
      <c r="N63" s="61" t="s">
        <v>2739</v>
      </c>
      <c r="O63" s="71">
        <v>7.8100000000000003E-2</v>
      </c>
      <c r="P63" s="64"/>
      <c r="Q63" s="69">
        <v>43842</v>
      </c>
      <c r="R63" s="70">
        <v>3756.07</v>
      </c>
      <c r="S63" s="70">
        <v>3645.87</v>
      </c>
      <c r="T63" s="70">
        <v>3760.2</v>
      </c>
      <c r="U63" s="70">
        <v>3633.4</v>
      </c>
      <c r="V63" s="61"/>
      <c r="W63" s="71">
        <v>3.7100000000000001E-2</v>
      </c>
      <c r="X63" s="64"/>
      <c r="Y63" s="64"/>
      <c r="Z63" s="69">
        <v>43842</v>
      </c>
      <c r="AA63" s="72">
        <v>138629</v>
      </c>
      <c r="AB63" s="72">
        <v>131509</v>
      </c>
      <c r="AC63" s="72">
        <v>140454</v>
      </c>
      <c r="AD63" s="72">
        <v>131099</v>
      </c>
      <c r="AE63" s="61"/>
      <c r="AF63" s="71">
        <v>5.4600000000000003E-2</v>
      </c>
      <c r="AG63" s="64"/>
      <c r="AH63" s="69">
        <v>43842</v>
      </c>
      <c r="AI63" s="72">
        <v>1896.49</v>
      </c>
      <c r="AJ63" s="72">
        <v>1777.4</v>
      </c>
      <c r="AK63" s="72">
        <v>1906.93</v>
      </c>
      <c r="AL63" s="72">
        <v>1775.52</v>
      </c>
      <c r="AM63" s="61"/>
      <c r="AN63" s="71">
        <v>6.7199999999999996E-2</v>
      </c>
      <c r="AY63" s="60">
        <v>44228</v>
      </c>
      <c r="AZ63" s="61">
        <v>2021</v>
      </c>
      <c r="BA63" s="61">
        <v>2</v>
      </c>
      <c r="BB63" s="62">
        <v>82.5</v>
      </c>
      <c r="BC63" s="61">
        <v>81.8</v>
      </c>
      <c r="BD63" s="61">
        <v>83.3</v>
      </c>
      <c r="BE63" s="62">
        <v>5.03</v>
      </c>
      <c r="BF63" s="62">
        <v>4.1900000000000004</v>
      </c>
      <c r="BG63" s="62">
        <v>5.96</v>
      </c>
      <c r="BI63" s="3">
        <v>44228</v>
      </c>
      <c r="BJ63" s="4">
        <v>72.805300000000003</v>
      </c>
    </row>
    <row r="64" spans="1:62" x14ac:dyDescent="0.25">
      <c r="A64" s="65">
        <v>42460</v>
      </c>
      <c r="B64" s="66">
        <v>7738.4</v>
      </c>
      <c r="C64" s="66">
        <v>7727.65</v>
      </c>
      <c r="D64" s="66">
        <v>7777.6</v>
      </c>
      <c r="E64" s="66">
        <v>7702</v>
      </c>
      <c r="F64" s="67" t="s">
        <v>2620</v>
      </c>
      <c r="G64" s="68">
        <v>4.0000000000000002E-4</v>
      </c>
      <c r="H64" s="64"/>
      <c r="I64" s="69">
        <v>44197</v>
      </c>
      <c r="J64" s="70">
        <v>13634.6</v>
      </c>
      <c r="K64" s="70">
        <v>13996.1</v>
      </c>
      <c r="L64" s="70">
        <v>14753.55</v>
      </c>
      <c r="M64" s="70">
        <v>13596.75</v>
      </c>
      <c r="N64" s="61" t="s">
        <v>2738</v>
      </c>
      <c r="O64" s="71">
        <v>-2.4799999999999999E-2</v>
      </c>
      <c r="P64" s="64"/>
      <c r="Q64" s="69">
        <v>44197</v>
      </c>
      <c r="R64" s="70">
        <v>3714.24</v>
      </c>
      <c r="S64" s="70">
        <v>3764.61</v>
      </c>
      <c r="T64" s="70">
        <v>3870.9</v>
      </c>
      <c r="U64" s="70">
        <v>3662.71</v>
      </c>
      <c r="V64" s="61"/>
      <c r="W64" s="71">
        <v>-1.11E-2</v>
      </c>
      <c r="X64" s="64"/>
      <c r="Y64" s="64"/>
      <c r="Z64" s="69">
        <v>44197</v>
      </c>
      <c r="AA64" s="72">
        <v>134538</v>
      </c>
      <c r="AB64" s="72">
        <v>138653</v>
      </c>
      <c r="AC64" s="72">
        <v>143253</v>
      </c>
      <c r="AD64" s="72">
        <v>132399</v>
      </c>
      <c r="AE64" s="61"/>
      <c r="AF64" s="71">
        <v>-2.9499999999999998E-2</v>
      </c>
      <c r="AG64" s="64"/>
      <c r="AH64" s="69">
        <v>44197</v>
      </c>
      <c r="AI64" s="72">
        <v>1846.09</v>
      </c>
      <c r="AJ64" s="72">
        <v>1897.69</v>
      </c>
      <c r="AK64" s="72">
        <v>1959.6</v>
      </c>
      <c r="AL64" s="72">
        <v>1810.46</v>
      </c>
      <c r="AM64" s="61"/>
      <c r="AN64" s="71">
        <v>-2.6599999999999999E-2</v>
      </c>
      <c r="AY64" s="60">
        <v>44256</v>
      </c>
      <c r="AZ64" s="61">
        <v>2021</v>
      </c>
      <c r="BA64" s="61">
        <v>3</v>
      </c>
      <c r="BB64" s="62">
        <v>82.6</v>
      </c>
      <c r="BC64" s="61">
        <v>81.8</v>
      </c>
      <c r="BD64" s="61">
        <v>83.5</v>
      </c>
      <c r="BE64" s="62">
        <v>5.52</v>
      </c>
      <c r="BF64" s="62">
        <v>4.6100000000000003</v>
      </c>
      <c r="BG64" s="62">
        <v>6.52</v>
      </c>
      <c r="BI64" s="3">
        <v>44256</v>
      </c>
      <c r="BJ64" s="4">
        <v>72.819599999999994</v>
      </c>
    </row>
    <row r="65" spans="1:62" x14ac:dyDescent="0.25">
      <c r="A65" s="65">
        <v>42461</v>
      </c>
      <c r="B65" s="66">
        <v>7713.05</v>
      </c>
      <c r="C65" s="66">
        <v>7718.05</v>
      </c>
      <c r="D65" s="66">
        <v>7740.15</v>
      </c>
      <c r="E65" s="66">
        <v>7666.1</v>
      </c>
      <c r="F65" s="67" t="s">
        <v>2619</v>
      </c>
      <c r="G65" s="68">
        <v>-3.3E-3</v>
      </c>
      <c r="H65" s="64"/>
      <c r="I65" s="69">
        <v>44198</v>
      </c>
      <c r="J65" s="70">
        <v>14529.15</v>
      </c>
      <c r="K65" s="70">
        <v>13758.6</v>
      </c>
      <c r="L65" s="70">
        <v>15431.75</v>
      </c>
      <c r="M65" s="70">
        <v>13661.75</v>
      </c>
      <c r="N65" s="61" t="s">
        <v>2737</v>
      </c>
      <c r="O65" s="71">
        <v>6.5600000000000006E-2</v>
      </c>
      <c r="P65" s="64"/>
      <c r="Q65" s="69">
        <v>44198</v>
      </c>
      <c r="R65" s="70">
        <v>3811.15</v>
      </c>
      <c r="S65" s="70">
        <v>3731.17</v>
      </c>
      <c r="T65" s="70">
        <v>3950.43</v>
      </c>
      <c r="U65" s="70">
        <v>3725.62</v>
      </c>
      <c r="V65" s="61"/>
      <c r="W65" s="71">
        <v>2.6100000000000002E-2</v>
      </c>
      <c r="X65" s="64"/>
      <c r="Y65" s="64"/>
      <c r="Z65" s="69">
        <v>44198</v>
      </c>
      <c r="AA65" s="72">
        <v>128140</v>
      </c>
      <c r="AB65" s="72">
        <v>135828</v>
      </c>
      <c r="AC65" s="72">
        <v>136717</v>
      </c>
      <c r="AD65" s="72">
        <v>126969</v>
      </c>
      <c r="AE65" s="61"/>
      <c r="AF65" s="71">
        <v>-4.7600000000000003E-2</v>
      </c>
      <c r="AG65" s="64"/>
      <c r="AH65" s="69">
        <v>44198</v>
      </c>
      <c r="AI65" s="72">
        <v>1733.49</v>
      </c>
      <c r="AJ65" s="72">
        <v>1863.05</v>
      </c>
      <c r="AK65" s="72">
        <v>1871.84</v>
      </c>
      <c r="AL65" s="72">
        <v>1717.26</v>
      </c>
      <c r="AM65" s="61"/>
      <c r="AN65" s="71">
        <v>-6.0999999999999999E-2</v>
      </c>
      <c r="AY65" s="60">
        <v>44287</v>
      </c>
      <c r="AZ65" s="61">
        <v>2021</v>
      </c>
      <c r="BA65" s="61">
        <v>4</v>
      </c>
      <c r="BB65" s="62">
        <v>83.1</v>
      </c>
      <c r="BC65" s="61">
        <v>82.3</v>
      </c>
      <c r="BD65" s="61">
        <v>84.1</v>
      </c>
      <c r="BE65" s="62">
        <v>4.2300000000000004</v>
      </c>
      <c r="BF65" s="62">
        <v>3.75</v>
      </c>
      <c r="BG65" s="62">
        <v>4.71</v>
      </c>
      <c r="BI65" s="3">
        <v>44287</v>
      </c>
      <c r="BJ65" s="4">
        <v>74.518600000000006</v>
      </c>
    </row>
    <row r="66" spans="1:62" x14ac:dyDescent="0.25">
      <c r="A66" s="65">
        <v>42464</v>
      </c>
      <c r="B66" s="66">
        <v>7758.8</v>
      </c>
      <c r="C66" s="66">
        <v>7733.15</v>
      </c>
      <c r="D66" s="66">
        <v>7764.45</v>
      </c>
      <c r="E66" s="66">
        <v>7704.4</v>
      </c>
      <c r="F66" s="67" t="s">
        <v>2618</v>
      </c>
      <c r="G66" s="68">
        <v>5.8999999999999999E-3</v>
      </c>
      <c r="H66" s="64"/>
      <c r="I66" s="69">
        <v>44199</v>
      </c>
      <c r="J66" s="70">
        <v>14690.7</v>
      </c>
      <c r="K66" s="70">
        <v>14702.5</v>
      </c>
      <c r="L66" s="70">
        <v>15336.3</v>
      </c>
      <c r="M66" s="70">
        <v>14264.4</v>
      </c>
      <c r="N66" s="61" t="s">
        <v>2736</v>
      </c>
      <c r="O66" s="71">
        <v>1.11E-2</v>
      </c>
      <c r="P66" s="64"/>
      <c r="Q66" s="69">
        <v>44199</v>
      </c>
      <c r="R66" s="70">
        <v>3972.89</v>
      </c>
      <c r="S66" s="70">
        <v>3842.51</v>
      </c>
      <c r="T66" s="70">
        <v>3994.41</v>
      </c>
      <c r="U66" s="70">
        <v>3723.34</v>
      </c>
      <c r="V66" s="61"/>
      <c r="W66" s="71">
        <v>4.24E-2</v>
      </c>
      <c r="X66" s="64"/>
      <c r="Y66" s="64"/>
      <c r="Z66" s="69">
        <v>44199</v>
      </c>
      <c r="AA66" s="72">
        <v>124864</v>
      </c>
      <c r="AB66" s="72">
        <v>128162</v>
      </c>
      <c r="AC66" s="72">
        <v>129461</v>
      </c>
      <c r="AD66" s="72">
        <v>122950</v>
      </c>
      <c r="AE66" s="61"/>
      <c r="AF66" s="71">
        <v>-2.5600000000000001E-2</v>
      </c>
      <c r="AG66" s="64"/>
      <c r="AH66" s="69">
        <v>44199</v>
      </c>
      <c r="AI66" s="72">
        <v>1707.01</v>
      </c>
      <c r="AJ66" s="72">
        <v>1733.4</v>
      </c>
      <c r="AK66" s="72">
        <v>1760.02</v>
      </c>
      <c r="AL66" s="72">
        <v>1676.7</v>
      </c>
      <c r="AM66" s="61"/>
      <c r="AN66" s="71">
        <v>-1.5299999999999999E-2</v>
      </c>
      <c r="AY66" s="60">
        <v>44317</v>
      </c>
      <c r="AZ66" s="61">
        <v>2021</v>
      </c>
      <c r="BA66" s="61">
        <v>5</v>
      </c>
      <c r="BB66" s="62">
        <v>84.5</v>
      </c>
      <c r="BC66" s="61">
        <v>84.1</v>
      </c>
      <c r="BD66" s="61">
        <v>84.9</v>
      </c>
      <c r="BE66" s="62">
        <v>6.3</v>
      </c>
      <c r="BF66" s="62">
        <v>6.55</v>
      </c>
      <c r="BG66" s="62">
        <v>5.91</v>
      </c>
      <c r="BI66" s="3">
        <v>44317</v>
      </c>
      <c r="BJ66" s="4">
        <v>73.206500000000005</v>
      </c>
    </row>
    <row r="67" spans="1:62" x14ac:dyDescent="0.25">
      <c r="A67" s="65">
        <v>42465</v>
      </c>
      <c r="B67" s="66">
        <v>7603.2</v>
      </c>
      <c r="C67" s="66">
        <v>7736.3</v>
      </c>
      <c r="D67" s="66">
        <v>7736.3</v>
      </c>
      <c r="E67" s="66">
        <v>7588.65</v>
      </c>
      <c r="F67" s="67" t="s">
        <v>2617</v>
      </c>
      <c r="G67" s="68">
        <v>-2.01E-2</v>
      </c>
      <c r="H67" s="64"/>
      <c r="I67" s="69">
        <v>44200</v>
      </c>
      <c r="J67" s="70">
        <v>14631.1</v>
      </c>
      <c r="K67" s="70">
        <v>14798.4</v>
      </c>
      <c r="L67" s="70">
        <v>15044.35</v>
      </c>
      <c r="M67" s="70">
        <v>14151.4</v>
      </c>
      <c r="N67" s="61" t="s">
        <v>2735</v>
      </c>
      <c r="O67" s="71">
        <v>-4.1000000000000003E-3</v>
      </c>
      <c r="P67" s="64"/>
      <c r="Q67" s="69">
        <v>44200</v>
      </c>
      <c r="R67" s="70">
        <v>4181.17</v>
      </c>
      <c r="S67" s="70">
        <v>3992.78</v>
      </c>
      <c r="T67" s="70">
        <v>4218.78</v>
      </c>
      <c r="U67" s="70">
        <v>3992.78</v>
      </c>
      <c r="V67" s="61"/>
      <c r="W67" s="71">
        <v>5.2400000000000002E-2</v>
      </c>
      <c r="X67" s="64"/>
      <c r="Y67" s="64"/>
      <c r="Z67" s="69">
        <v>44200</v>
      </c>
      <c r="AA67" s="72">
        <v>130964</v>
      </c>
      <c r="AB67" s="72">
        <v>124899</v>
      </c>
      <c r="AC67" s="72">
        <v>135765</v>
      </c>
      <c r="AD67" s="72">
        <v>124749</v>
      </c>
      <c r="AE67" s="61"/>
      <c r="AF67" s="71">
        <v>4.8899999999999999E-2</v>
      </c>
      <c r="AG67" s="64"/>
      <c r="AH67" s="69">
        <v>44200</v>
      </c>
      <c r="AI67" s="72">
        <v>1768.59</v>
      </c>
      <c r="AJ67" s="72">
        <v>1708.09</v>
      </c>
      <c r="AK67" s="72">
        <v>1798.29</v>
      </c>
      <c r="AL67" s="72">
        <v>1705.42</v>
      </c>
      <c r="AM67" s="61"/>
      <c r="AN67" s="71">
        <v>3.61E-2</v>
      </c>
      <c r="AY67" s="60">
        <v>44348</v>
      </c>
      <c r="AZ67" s="61">
        <v>2021</v>
      </c>
      <c r="BA67" s="61">
        <v>6</v>
      </c>
      <c r="BB67" s="62">
        <v>85</v>
      </c>
      <c r="BC67" s="61">
        <v>84.6</v>
      </c>
      <c r="BD67" s="61">
        <v>85.3</v>
      </c>
      <c r="BE67" s="62">
        <v>6.26</v>
      </c>
      <c r="BF67" s="62">
        <v>6.16</v>
      </c>
      <c r="BG67" s="62">
        <v>6.37</v>
      </c>
      <c r="BI67" s="3">
        <v>44348</v>
      </c>
      <c r="BJ67" s="4">
        <v>73.578199999999995</v>
      </c>
    </row>
    <row r="68" spans="1:62" x14ac:dyDescent="0.25">
      <c r="A68" s="65">
        <v>42466</v>
      </c>
      <c r="B68" s="66">
        <v>7614.35</v>
      </c>
      <c r="C68" s="66">
        <v>7636.05</v>
      </c>
      <c r="D68" s="66">
        <v>7638.65</v>
      </c>
      <c r="E68" s="66">
        <v>7591.75</v>
      </c>
      <c r="F68" s="67" t="s">
        <v>2616</v>
      </c>
      <c r="G68" s="68">
        <v>1.5E-3</v>
      </c>
      <c r="H68" s="64"/>
      <c r="I68" s="69">
        <v>44201</v>
      </c>
      <c r="J68" s="70">
        <v>15582.8</v>
      </c>
      <c r="K68" s="70">
        <v>14481.05</v>
      </c>
      <c r="L68" s="70">
        <v>15606.35</v>
      </c>
      <c r="M68" s="70">
        <v>14416.25</v>
      </c>
      <c r="N68" s="61" t="s">
        <v>2734</v>
      </c>
      <c r="O68" s="71">
        <v>6.5000000000000002E-2</v>
      </c>
      <c r="P68" s="64"/>
      <c r="Q68" s="69">
        <v>44201</v>
      </c>
      <c r="R68" s="70">
        <v>4204.1099999999997</v>
      </c>
      <c r="S68" s="70">
        <v>4191.9799999999996</v>
      </c>
      <c r="T68" s="70">
        <v>4238.04</v>
      </c>
      <c r="U68" s="70">
        <v>4056.88</v>
      </c>
      <c r="V68" s="61"/>
      <c r="W68" s="71">
        <v>5.4999999999999997E-3</v>
      </c>
      <c r="X68" s="64"/>
      <c r="Y68" s="64"/>
      <c r="Z68" s="69">
        <v>44201</v>
      </c>
      <c r="AA68" s="72">
        <v>138344</v>
      </c>
      <c r="AB68" s="72">
        <v>131037</v>
      </c>
      <c r="AC68" s="72">
        <v>139226</v>
      </c>
      <c r="AD68" s="72">
        <v>130674</v>
      </c>
      <c r="AE68" s="61"/>
      <c r="AF68" s="71">
        <v>5.6399999999999999E-2</v>
      </c>
      <c r="AG68" s="64"/>
      <c r="AH68" s="69">
        <v>44201</v>
      </c>
      <c r="AI68" s="72">
        <v>1906.36</v>
      </c>
      <c r="AJ68" s="72">
        <v>1768.49</v>
      </c>
      <c r="AK68" s="72">
        <v>1913.15</v>
      </c>
      <c r="AL68" s="72">
        <v>1765.91</v>
      </c>
      <c r="AM68" s="61"/>
      <c r="AN68" s="71">
        <v>7.7899999999999997E-2</v>
      </c>
      <c r="AY68" s="60">
        <v>44378</v>
      </c>
      <c r="AZ68" s="61">
        <v>2021</v>
      </c>
      <c r="BA68" s="61">
        <v>7</v>
      </c>
      <c r="BB68" s="62">
        <v>85.6</v>
      </c>
      <c r="BC68" s="61">
        <v>85.2</v>
      </c>
      <c r="BD68" s="61">
        <v>86.1</v>
      </c>
      <c r="BE68" s="62">
        <v>5.59</v>
      </c>
      <c r="BF68" s="62">
        <v>5.49</v>
      </c>
      <c r="BG68" s="62">
        <v>5.82</v>
      </c>
      <c r="BI68" s="3">
        <v>44378</v>
      </c>
      <c r="BJ68" s="4">
        <v>74.539000000000001</v>
      </c>
    </row>
    <row r="69" spans="1:62" x14ac:dyDescent="0.25">
      <c r="A69" s="65">
        <v>42467</v>
      </c>
      <c r="B69" s="66">
        <v>7546.45</v>
      </c>
      <c r="C69" s="66">
        <v>7630.4</v>
      </c>
      <c r="D69" s="66">
        <v>7630.75</v>
      </c>
      <c r="E69" s="66">
        <v>7535.85</v>
      </c>
      <c r="F69" s="67" t="s">
        <v>2615</v>
      </c>
      <c r="G69" s="68">
        <v>-8.8999999999999999E-3</v>
      </c>
      <c r="H69" s="64"/>
      <c r="I69" s="69">
        <v>44202</v>
      </c>
      <c r="J69" s="70">
        <v>15721.5</v>
      </c>
      <c r="K69" s="70">
        <v>15629.65</v>
      </c>
      <c r="L69" s="70">
        <v>15915.65</v>
      </c>
      <c r="M69" s="70">
        <v>15450.9</v>
      </c>
      <c r="N69" s="61" t="s">
        <v>2733</v>
      </c>
      <c r="O69" s="71">
        <v>8.8999999999999999E-3</v>
      </c>
      <c r="P69" s="64"/>
      <c r="Q69" s="69">
        <v>44202</v>
      </c>
      <c r="R69" s="70">
        <v>4297.5</v>
      </c>
      <c r="S69" s="70">
        <v>4216.5200000000004</v>
      </c>
      <c r="T69" s="70">
        <v>4302.43</v>
      </c>
      <c r="U69" s="70">
        <v>4164.3999999999996</v>
      </c>
      <c r="V69" s="61"/>
      <c r="W69" s="71">
        <v>2.2200000000000001E-2</v>
      </c>
      <c r="X69" s="64"/>
      <c r="Y69" s="64"/>
      <c r="Z69" s="69">
        <v>44202</v>
      </c>
      <c r="AA69" s="72">
        <v>131594</v>
      </c>
      <c r="AB69" s="72">
        <v>138331</v>
      </c>
      <c r="AC69" s="72">
        <v>139470</v>
      </c>
      <c r="AD69" s="72">
        <v>130074</v>
      </c>
      <c r="AE69" s="61"/>
      <c r="AF69" s="71">
        <v>-4.8800000000000003E-2</v>
      </c>
      <c r="AG69" s="64"/>
      <c r="AH69" s="69">
        <v>44202</v>
      </c>
      <c r="AI69" s="72">
        <v>1769.8</v>
      </c>
      <c r="AJ69" s="72">
        <v>1907.53</v>
      </c>
      <c r="AK69" s="72">
        <v>1916.84</v>
      </c>
      <c r="AL69" s="72">
        <v>1750.11</v>
      </c>
      <c r="AM69" s="61"/>
      <c r="AN69" s="71">
        <v>-7.1599999999999997E-2</v>
      </c>
      <c r="AY69" s="60">
        <v>44409</v>
      </c>
      <c r="AZ69" s="61">
        <v>2021</v>
      </c>
      <c r="BA69" s="61">
        <v>8</v>
      </c>
      <c r="BB69" s="62">
        <v>85.8</v>
      </c>
      <c r="BC69" s="61">
        <v>85.4</v>
      </c>
      <c r="BD69" s="61">
        <v>86.3</v>
      </c>
      <c r="BE69" s="62">
        <v>5.3</v>
      </c>
      <c r="BF69" s="62">
        <v>5.28</v>
      </c>
      <c r="BG69" s="62">
        <v>5.32</v>
      </c>
      <c r="BI69" s="3">
        <v>44409</v>
      </c>
      <c r="BJ69" s="4">
        <v>74.115499999999997</v>
      </c>
    </row>
    <row r="70" spans="1:62" x14ac:dyDescent="0.25">
      <c r="A70" s="65">
        <v>42468</v>
      </c>
      <c r="B70" s="66">
        <v>7555.2</v>
      </c>
      <c r="C70" s="66">
        <v>7542.35</v>
      </c>
      <c r="D70" s="66">
        <v>7569.35</v>
      </c>
      <c r="E70" s="66">
        <v>7526.7</v>
      </c>
      <c r="F70" s="67" t="s">
        <v>2614</v>
      </c>
      <c r="G70" s="68">
        <v>1.1999999999999999E-3</v>
      </c>
      <c r="H70" s="64"/>
      <c r="I70" s="69">
        <v>44203</v>
      </c>
      <c r="J70" s="70">
        <v>15763.05</v>
      </c>
      <c r="K70" s="70">
        <v>15755.05</v>
      </c>
      <c r="L70" s="70">
        <v>15962.25</v>
      </c>
      <c r="M70" s="70">
        <v>15513.45</v>
      </c>
      <c r="N70" s="61" t="s">
        <v>2732</v>
      </c>
      <c r="O70" s="71">
        <v>2.5999999999999999E-3</v>
      </c>
      <c r="P70" s="64"/>
      <c r="Q70" s="69">
        <v>44203</v>
      </c>
      <c r="R70" s="70">
        <v>4395.26</v>
      </c>
      <c r="S70" s="70">
        <v>4300.7299999999996</v>
      </c>
      <c r="T70" s="70">
        <v>4429.97</v>
      </c>
      <c r="U70" s="70">
        <v>4233.13</v>
      </c>
      <c r="V70" s="61"/>
      <c r="W70" s="71">
        <v>2.2700000000000001E-2</v>
      </c>
      <c r="X70" s="64"/>
      <c r="Y70" s="64"/>
      <c r="Z70" s="69">
        <v>44203</v>
      </c>
      <c r="AA70" s="72">
        <v>134817</v>
      </c>
      <c r="AB70" s="72">
        <v>131642</v>
      </c>
      <c r="AC70" s="72">
        <v>136722</v>
      </c>
      <c r="AD70" s="72">
        <v>131300</v>
      </c>
      <c r="AE70" s="61"/>
      <c r="AF70" s="71">
        <v>2.4500000000000001E-2</v>
      </c>
      <c r="AG70" s="64"/>
      <c r="AH70" s="69">
        <v>44203</v>
      </c>
      <c r="AI70" s="72">
        <v>1813.58</v>
      </c>
      <c r="AJ70" s="72">
        <v>1770.06</v>
      </c>
      <c r="AK70" s="72">
        <v>1833.99</v>
      </c>
      <c r="AL70" s="72">
        <v>1765.47</v>
      </c>
      <c r="AM70" s="61"/>
      <c r="AN70" s="71">
        <v>2.47E-2</v>
      </c>
      <c r="AY70" s="60">
        <v>44440</v>
      </c>
      <c r="AZ70" s="61">
        <v>2021</v>
      </c>
      <c r="BA70" s="61">
        <v>9</v>
      </c>
      <c r="BB70" s="62">
        <v>86</v>
      </c>
      <c r="BC70" s="61">
        <v>85.6</v>
      </c>
      <c r="BD70" s="61">
        <v>86.3</v>
      </c>
      <c r="BE70" s="62">
        <v>4.3499999999999996</v>
      </c>
      <c r="BF70" s="62">
        <v>4.13</v>
      </c>
      <c r="BG70" s="62">
        <v>4.57</v>
      </c>
      <c r="BI70" s="3">
        <v>44440</v>
      </c>
      <c r="BJ70" s="4">
        <v>73.6357</v>
      </c>
    </row>
    <row r="71" spans="1:62" x14ac:dyDescent="0.25">
      <c r="A71" s="65">
        <v>42471</v>
      </c>
      <c r="B71" s="66">
        <v>7671.4</v>
      </c>
      <c r="C71" s="66">
        <v>7577.8</v>
      </c>
      <c r="D71" s="66">
        <v>7678.8</v>
      </c>
      <c r="E71" s="66">
        <v>7516.85</v>
      </c>
      <c r="F71" s="67" t="s">
        <v>2613</v>
      </c>
      <c r="G71" s="68">
        <v>1.54E-2</v>
      </c>
      <c r="H71" s="64"/>
      <c r="I71" s="69">
        <v>44204</v>
      </c>
      <c r="J71" s="70">
        <v>17132.2</v>
      </c>
      <c r="K71" s="70">
        <v>15874.9</v>
      </c>
      <c r="L71" s="70">
        <v>17153.5</v>
      </c>
      <c r="M71" s="70">
        <v>15834.65</v>
      </c>
      <c r="N71" s="61" t="s">
        <v>2731</v>
      </c>
      <c r="O71" s="71">
        <v>8.6900000000000005E-2</v>
      </c>
      <c r="P71" s="64"/>
      <c r="Q71" s="69">
        <v>44204</v>
      </c>
      <c r="R71" s="70">
        <v>4522.68</v>
      </c>
      <c r="S71" s="70">
        <v>4406.8599999999997</v>
      </c>
      <c r="T71" s="70">
        <v>4537.3599999999997</v>
      </c>
      <c r="U71" s="70">
        <v>4367.7299999999996</v>
      </c>
      <c r="V71" s="61"/>
      <c r="W71" s="71">
        <v>2.9000000000000001E-2</v>
      </c>
      <c r="X71" s="64"/>
      <c r="Y71" s="64"/>
      <c r="Z71" s="69">
        <v>44204</v>
      </c>
      <c r="AA71" s="72">
        <v>132225</v>
      </c>
      <c r="AB71" s="72">
        <v>134885</v>
      </c>
      <c r="AC71" s="72">
        <v>135849</v>
      </c>
      <c r="AD71" s="72">
        <v>125081</v>
      </c>
      <c r="AE71" s="61"/>
      <c r="AF71" s="71">
        <v>-1.9199999999999998E-2</v>
      </c>
      <c r="AG71" s="64"/>
      <c r="AH71" s="69">
        <v>44204</v>
      </c>
      <c r="AI71" s="72">
        <v>1813.43</v>
      </c>
      <c r="AJ71" s="72">
        <v>1814.34</v>
      </c>
      <c r="AK71" s="72">
        <v>1832.1</v>
      </c>
      <c r="AL71" s="72">
        <v>1684.77</v>
      </c>
      <c r="AM71" s="61"/>
      <c r="AN71" s="71">
        <v>-1E-4</v>
      </c>
      <c r="AY71" s="60">
        <v>44470</v>
      </c>
      <c r="AZ71" s="61">
        <v>2021</v>
      </c>
      <c r="BA71" s="61">
        <v>10</v>
      </c>
      <c r="BB71" s="62">
        <v>87.2</v>
      </c>
      <c r="BC71" s="61">
        <v>86.8</v>
      </c>
      <c r="BD71" s="61">
        <v>87.6</v>
      </c>
      <c r="BE71" s="62">
        <v>4.4800000000000004</v>
      </c>
      <c r="BF71" s="62">
        <v>4.07</v>
      </c>
      <c r="BG71" s="62">
        <v>5.04</v>
      </c>
      <c r="BI71" s="3">
        <v>44470</v>
      </c>
      <c r="BJ71" s="4">
        <v>74.92</v>
      </c>
    </row>
    <row r="72" spans="1:62" x14ac:dyDescent="0.25">
      <c r="A72" s="65">
        <v>42472</v>
      </c>
      <c r="B72" s="66">
        <v>7708.95</v>
      </c>
      <c r="C72" s="66">
        <v>7669.25</v>
      </c>
      <c r="D72" s="66">
        <v>7717.4</v>
      </c>
      <c r="E72" s="66">
        <v>7663.35</v>
      </c>
      <c r="F72" s="67" t="s">
        <v>2612</v>
      </c>
      <c r="G72" s="68">
        <v>4.8999999999999998E-3</v>
      </c>
      <c r="H72" s="64"/>
      <c r="I72" s="69">
        <v>44205</v>
      </c>
      <c r="J72" s="70">
        <v>17618.150000000001</v>
      </c>
      <c r="K72" s="70">
        <v>17185.599999999999</v>
      </c>
      <c r="L72" s="70">
        <v>17947.650000000001</v>
      </c>
      <c r="M72" s="70">
        <v>17055.05</v>
      </c>
      <c r="N72" s="61" t="s">
        <v>2730</v>
      </c>
      <c r="O72" s="71">
        <v>2.8400000000000002E-2</v>
      </c>
      <c r="P72" s="64"/>
      <c r="Q72" s="69">
        <v>44205</v>
      </c>
      <c r="R72" s="70">
        <v>4307.54</v>
      </c>
      <c r="S72" s="70">
        <v>4528.8</v>
      </c>
      <c r="T72" s="70">
        <v>4545.8500000000004</v>
      </c>
      <c r="U72" s="70">
        <v>4305.91</v>
      </c>
      <c r="V72" s="61"/>
      <c r="W72" s="71">
        <v>-4.7600000000000003E-2</v>
      </c>
      <c r="X72" s="64"/>
      <c r="Y72" s="64"/>
      <c r="Z72" s="69">
        <v>44205</v>
      </c>
      <c r="AA72" s="72">
        <v>130253</v>
      </c>
      <c r="AB72" s="72">
        <v>132340</v>
      </c>
      <c r="AC72" s="72">
        <v>133917</v>
      </c>
      <c r="AD72" s="72">
        <v>127872</v>
      </c>
      <c r="AE72" s="61"/>
      <c r="AF72" s="71">
        <v>-1.49E-2</v>
      </c>
      <c r="AG72" s="64"/>
      <c r="AH72" s="69">
        <v>44205</v>
      </c>
      <c r="AI72" s="72">
        <v>1756.66</v>
      </c>
      <c r="AJ72" s="72">
        <v>1813.57</v>
      </c>
      <c r="AK72" s="72">
        <v>1834.55</v>
      </c>
      <c r="AL72" s="72">
        <v>1721.07</v>
      </c>
      <c r="AM72" s="61"/>
      <c r="AN72" s="71">
        <v>-3.1300000000000001E-2</v>
      </c>
      <c r="AY72" s="60">
        <v>44501</v>
      </c>
      <c r="AZ72" s="61">
        <v>2021</v>
      </c>
      <c r="BA72" s="61">
        <v>11</v>
      </c>
      <c r="BB72" s="62">
        <v>87.8</v>
      </c>
      <c r="BC72" s="61">
        <v>87.5</v>
      </c>
      <c r="BD72" s="61">
        <v>88.1</v>
      </c>
      <c r="BE72" s="62">
        <v>4.91</v>
      </c>
      <c r="BF72" s="62">
        <v>4.29</v>
      </c>
      <c r="BG72" s="62">
        <v>5.54</v>
      </c>
      <c r="BI72" s="3">
        <v>44501</v>
      </c>
      <c r="BJ72" s="4">
        <v>74.477000000000004</v>
      </c>
    </row>
    <row r="73" spans="1:62" x14ac:dyDescent="0.25">
      <c r="A73" s="65">
        <v>42473</v>
      </c>
      <c r="B73" s="66">
        <v>7850.45</v>
      </c>
      <c r="C73" s="66">
        <v>7777.15</v>
      </c>
      <c r="D73" s="66">
        <v>7864.8</v>
      </c>
      <c r="E73" s="66">
        <v>7772.2</v>
      </c>
      <c r="F73" s="67" t="s">
        <v>2611</v>
      </c>
      <c r="G73" s="68">
        <v>1.84E-2</v>
      </c>
      <c r="H73" s="64"/>
      <c r="I73" s="69">
        <v>44206</v>
      </c>
      <c r="J73" s="70">
        <v>17671.650000000001</v>
      </c>
      <c r="K73" s="70">
        <v>17531.900000000001</v>
      </c>
      <c r="L73" s="70">
        <v>18604.45</v>
      </c>
      <c r="M73" s="70">
        <v>17452.900000000001</v>
      </c>
      <c r="N73" s="61" t="s">
        <v>2729</v>
      </c>
      <c r="O73" s="71">
        <v>3.0000000000000001E-3</v>
      </c>
      <c r="P73" s="64"/>
      <c r="Q73" s="69">
        <v>44206</v>
      </c>
      <c r="R73" s="70">
        <v>4605.38</v>
      </c>
      <c r="S73" s="70">
        <v>4317.16</v>
      </c>
      <c r="T73" s="70">
        <v>4608.08</v>
      </c>
      <c r="U73" s="70">
        <v>4278.9399999999996</v>
      </c>
      <c r="V73" s="61"/>
      <c r="W73" s="71">
        <v>6.9099999999999995E-2</v>
      </c>
      <c r="X73" s="64"/>
      <c r="Y73" s="64"/>
      <c r="Z73" s="69">
        <v>44206</v>
      </c>
      <c r="AA73" s="72">
        <v>133560</v>
      </c>
      <c r="AB73" s="72">
        <v>130343</v>
      </c>
      <c r="AC73" s="72">
        <v>135976</v>
      </c>
      <c r="AD73" s="72">
        <v>129648</v>
      </c>
      <c r="AE73" s="61"/>
      <c r="AF73" s="71">
        <v>2.5399999999999999E-2</v>
      </c>
      <c r="AG73" s="64"/>
      <c r="AH73" s="69">
        <v>44206</v>
      </c>
      <c r="AI73" s="72">
        <v>1782.81</v>
      </c>
      <c r="AJ73" s="72">
        <v>1756.91</v>
      </c>
      <c r="AK73" s="72">
        <v>1814.22</v>
      </c>
      <c r="AL73" s="72">
        <v>1745.45</v>
      </c>
      <c r="AM73" s="61"/>
      <c r="AN73" s="71">
        <v>1.49E-2</v>
      </c>
      <c r="AY73" s="60">
        <v>44531</v>
      </c>
      <c r="AZ73" s="61">
        <v>2021</v>
      </c>
      <c r="BA73" s="61">
        <v>12</v>
      </c>
      <c r="BB73" s="62">
        <v>87.5</v>
      </c>
      <c r="BC73" s="61">
        <v>87.2</v>
      </c>
      <c r="BD73" s="61">
        <v>87.9</v>
      </c>
      <c r="BE73" s="62">
        <v>5.66</v>
      </c>
      <c r="BF73" s="62">
        <v>5.36</v>
      </c>
      <c r="BG73" s="62">
        <v>5.9</v>
      </c>
      <c r="BI73" s="3">
        <v>44531</v>
      </c>
      <c r="BJ73" s="4">
        <v>75.394800000000004</v>
      </c>
    </row>
    <row r="74" spans="1:62" x14ac:dyDescent="0.25">
      <c r="A74" s="65">
        <v>42478</v>
      </c>
      <c r="B74" s="66">
        <v>7914.7</v>
      </c>
      <c r="C74" s="66">
        <v>7908.15</v>
      </c>
      <c r="D74" s="66">
        <v>7920.6</v>
      </c>
      <c r="E74" s="66">
        <v>7842.75</v>
      </c>
      <c r="F74" s="67" t="s">
        <v>2610</v>
      </c>
      <c r="G74" s="68">
        <v>8.2000000000000007E-3</v>
      </c>
      <c r="H74" s="64"/>
      <c r="I74" s="69">
        <v>44207</v>
      </c>
      <c r="J74" s="70">
        <v>16983.2</v>
      </c>
      <c r="K74" s="70">
        <v>17783.150000000001</v>
      </c>
      <c r="L74" s="70">
        <v>18210.150000000001</v>
      </c>
      <c r="M74" s="70">
        <v>16782.400000000001</v>
      </c>
      <c r="N74" s="61" t="s">
        <v>2728</v>
      </c>
      <c r="O74" s="71">
        <v>-3.9E-2</v>
      </c>
      <c r="P74" s="64"/>
      <c r="Q74" s="69">
        <v>44207</v>
      </c>
      <c r="R74" s="70">
        <v>4567</v>
      </c>
      <c r="S74" s="70">
        <v>4610.62</v>
      </c>
      <c r="T74" s="70">
        <v>4743.83</v>
      </c>
      <c r="U74" s="70">
        <v>4560</v>
      </c>
      <c r="V74" s="61"/>
      <c r="W74" s="71">
        <v>-8.3000000000000001E-3</v>
      </c>
      <c r="X74" s="64"/>
      <c r="Y74" s="64"/>
      <c r="Z74" s="69">
        <v>44207</v>
      </c>
      <c r="AA74" s="72">
        <v>133193</v>
      </c>
      <c r="AB74" s="72">
        <v>133627</v>
      </c>
      <c r="AC74" s="72">
        <v>139625</v>
      </c>
      <c r="AD74" s="72">
        <v>131021</v>
      </c>
      <c r="AE74" s="61"/>
      <c r="AF74" s="71">
        <v>-2.7000000000000001E-3</v>
      </c>
      <c r="AG74" s="64"/>
      <c r="AH74" s="69">
        <v>44207</v>
      </c>
      <c r="AI74" s="72">
        <v>1773.78</v>
      </c>
      <c r="AJ74" s="72">
        <v>1783.24</v>
      </c>
      <c r="AK74" s="72">
        <v>1877.4</v>
      </c>
      <c r="AL74" s="72">
        <v>1758.45</v>
      </c>
      <c r="AM74" s="61"/>
      <c r="AN74" s="71">
        <v>-5.1000000000000004E-3</v>
      </c>
      <c r="AY74" s="60">
        <v>44562</v>
      </c>
      <c r="AZ74" s="61">
        <v>2022</v>
      </c>
      <c r="BA74" s="61">
        <v>1</v>
      </c>
      <c r="BB74" s="62">
        <v>87.3</v>
      </c>
      <c r="BC74" s="61">
        <v>86.9</v>
      </c>
      <c r="BD74" s="61">
        <v>87.8</v>
      </c>
      <c r="BE74" s="62">
        <v>6.01</v>
      </c>
      <c r="BF74" s="62">
        <v>6.12</v>
      </c>
      <c r="BG74" s="62">
        <v>5.91</v>
      </c>
      <c r="BI74" s="3">
        <v>44562</v>
      </c>
      <c r="BJ74" s="4">
        <v>74.407499999999999</v>
      </c>
    </row>
    <row r="75" spans="1:62" x14ac:dyDescent="0.25">
      <c r="A75" s="65">
        <v>42480</v>
      </c>
      <c r="B75" s="66">
        <v>7914.75</v>
      </c>
      <c r="C75" s="66">
        <v>7950.05</v>
      </c>
      <c r="D75" s="66">
        <v>7950.4</v>
      </c>
      <c r="E75" s="66">
        <v>7877.55</v>
      </c>
      <c r="F75" s="67" t="s">
        <v>2289</v>
      </c>
      <c r="G75" s="68">
        <v>0</v>
      </c>
      <c r="H75" s="64"/>
      <c r="I75" s="69">
        <v>44208</v>
      </c>
      <c r="J75" s="70">
        <v>17354.05</v>
      </c>
      <c r="K75" s="70">
        <v>17104.400000000001</v>
      </c>
      <c r="L75" s="70">
        <v>17639.5</v>
      </c>
      <c r="M75" s="70">
        <v>16410.2</v>
      </c>
      <c r="N75" s="61" t="s">
        <v>2685</v>
      </c>
      <c r="O75" s="71">
        <v>2.18E-2</v>
      </c>
      <c r="P75" s="64"/>
      <c r="Q75" s="69">
        <v>44208</v>
      </c>
      <c r="R75" s="70">
        <v>4766.18</v>
      </c>
      <c r="S75" s="70">
        <v>4602.82</v>
      </c>
      <c r="T75" s="70">
        <v>4808.93</v>
      </c>
      <c r="U75" s="70">
        <v>4495.12</v>
      </c>
      <c r="V75" s="61"/>
      <c r="W75" s="71">
        <v>4.36E-2</v>
      </c>
      <c r="X75" s="64"/>
      <c r="Y75" s="64"/>
      <c r="Z75" s="69">
        <v>44208</v>
      </c>
      <c r="AA75" s="72">
        <v>136155</v>
      </c>
      <c r="AB75" s="72">
        <v>133295</v>
      </c>
      <c r="AC75" s="72">
        <v>137852</v>
      </c>
      <c r="AD75" s="72">
        <v>131976</v>
      </c>
      <c r="AE75" s="61"/>
      <c r="AF75" s="71">
        <v>2.2200000000000001E-2</v>
      </c>
      <c r="AG75" s="64"/>
      <c r="AH75" s="69">
        <v>44208</v>
      </c>
      <c r="AI75" s="72">
        <v>1828.39</v>
      </c>
      <c r="AJ75" s="72">
        <v>1774.15</v>
      </c>
      <c r="AK75" s="72">
        <v>1830.58</v>
      </c>
      <c r="AL75" s="72">
        <v>1753.84</v>
      </c>
      <c r="AM75" s="61"/>
      <c r="AN75" s="71">
        <v>3.0800000000000001E-2</v>
      </c>
      <c r="AY75" s="60">
        <v>44593</v>
      </c>
      <c r="AZ75" s="61">
        <v>2022</v>
      </c>
      <c r="BA75" s="61">
        <v>2</v>
      </c>
      <c r="BB75" s="62">
        <v>87.5</v>
      </c>
      <c r="BC75" s="61">
        <v>87.1</v>
      </c>
      <c r="BD75" s="61">
        <v>88</v>
      </c>
      <c r="BE75" s="62">
        <v>6.07</v>
      </c>
      <c r="BF75" s="62">
        <v>6.38</v>
      </c>
      <c r="BG75" s="62">
        <v>5.75</v>
      </c>
      <c r="BI75" s="3">
        <v>44593</v>
      </c>
      <c r="BJ75" s="4">
        <v>74.969499999999996</v>
      </c>
    </row>
    <row r="76" spans="1:62" x14ac:dyDescent="0.25">
      <c r="A76" s="65">
        <v>42481</v>
      </c>
      <c r="B76" s="66">
        <v>7912.05</v>
      </c>
      <c r="C76" s="66">
        <v>7953.65</v>
      </c>
      <c r="D76" s="66">
        <v>7978.45</v>
      </c>
      <c r="E76" s="66">
        <v>7884.1</v>
      </c>
      <c r="F76" s="67" t="s">
        <v>2609</v>
      </c>
      <c r="G76" s="68">
        <v>-2.9999999999999997E-4</v>
      </c>
      <c r="H76" s="64"/>
      <c r="I76" s="69">
        <v>44562</v>
      </c>
      <c r="J76" s="70">
        <v>17339.849999999999</v>
      </c>
      <c r="K76" s="70">
        <v>17387.150000000001</v>
      </c>
      <c r="L76" s="70">
        <v>18350.95</v>
      </c>
      <c r="M76" s="70">
        <v>16836.8</v>
      </c>
      <c r="N76" s="61" t="s">
        <v>2727</v>
      </c>
      <c r="O76" s="71">
        <v>-8.0000000000000004E-4</v>
      </c>
      <c r="P76" s="64"/>
      <c r="Q76" s="69">
        <v>44562</v>
      </c>
      <c r="R76" s="70">
        <v>4515.55</v>
      </c>
      <c r="S76" s="70">
        <v>4778.1400000000003</v>
      </c>
      <c r="T76" s="70">
        <v>4818.62</v>
      </c>
      <c r="U76" s="70">
        <v>4222.62</v>
      </c>
      <c r="V76" s="61"/>
      <c r="W76" s="71">
        <v>-5.2600000000000001E-2</v>
      </c>
      <c r="X76" s="64"/>
      <c r="Y76" s="64"/>
      <c r="Z76" s="69">
        <v>44562</v>
      </c>
      <c r="AA76" s="72">
        <v>133911</v>
      </c>
      <c r="AB76" s="72">
        <v>136319</v>
      </c>
      <c r="AC76" s="72">
        <v>138592</v>
      </c>
      <c r="AD76" s="72">
        <v>132466</v>
      </c>
      <c r="AE76" s="61"/>
      <c r="AF76" s="71">
        <v>-1.6500000000000001E-2</v>
      </c>
      <c r="AG76" s="64"/>
      <c r="AH76" s="69">
        <v>44562</v>
      </c>
      <c r="AI76" s="72">
        <v>1796.47</v>
      </c>
      <c r="AJ76" s="72">
        <v>1830.14</v>
      </c>
      <c r="AK76" s="72">
        <v>1853.98</v>
      </c>
      <c r="AL76" s="72">
        <v>1779.88</v>
      </c>
      <c r="AM76" s="61"/>
      <c r="AN76" s="71">
        <v>-1.7500000000000002E-2</v>
      </c>
      <c r="AY76" s="60">
        <v>44621</v>
      </c>
      <c r="AZ76" s="61">
        <v>2022</v>
      </c>
      <c r="BA76" s="61">
        <v>3</v>
      </c>
      <c r="BB76" s="62">
        <v>88.3</v>
      </c>
      <c r="BC76" s="61">
        <v>88.1</v>
      </c>
      <c r="BD76" s="61">
        <v>88.6</v>
      </c>
      <c r="BE76" s="62">
        <v>6.95</v>
      </c>
      <c r="BF76" s="62">
        <v>7.66</v>
      </c>
      <c r="BG76" s="62">
        <v>6.12</v>
      </c>
      <c r="BI76" s="3">
        <v>44621</v>
      </c>
      <c r="BJ76" s="4">
        <v>76.189599999999999</v>
      </c>
    </row>
    <row r="77" spans="1:62" x14ac:dyDescent="0.25">
      <c r="A77" s="65">
        <v>42482</v>
      </c>
      <c r="B77" s="66">
        <v>7899.3</v>
      </c>
      <c r="C77" s="66">
        <v>7891.8</v>
      </c>
      <c r="D77" s="66">
        <v>7923.35</v>
      </c>
      <c r="E77" s="66">
        <v>7873.35</v>
      </c>
      <c r="F77" s="67" t="s">
        <v>2385</v>
      </c>
      <c r="G77" s="68">
        <v>-1.6000000000000001E-3</v>
      </c>
      <c r="H77" s="64"/>
      <c r="I77" s="69">
        <v>44563</v>
      </c>
      <c r="J77" s="70">
        <v>16793.900000000001</v>
      </c>
      <c r="K77" s="70">
        <v>17529.45</v>
      </c>
      <c r="L77" s="70">
        <v>17794.599999999999</v>
      </c>
      <c r="M77" s="70">
        <v>16203.25</v>
      </c>
      <c r="N77" s="61" t="s">
        <v>2714</v>
      </c>
      <c r="O77" s="71">
        <v>-3.15E-2</v>
      </c>
      <c r="P77" s="64"/>
      <c r="Q77" s="69">
        <v>44563</v>
      </c>
      <c r="R77" s="70">
        <v>4373.9399999999996</v>
      </c>
      <c r="S77" s="70">
        <v>4519.57</v>
      </c>
      <c r="T77" s="70">
        <v>4595.3100000000004</v>
      </c>
      <c r="U77" s="70">
        <v>4114.6499999999996</v>
      </c>
      <c r="V77" s="61"/>
      <c r="W77" s="71">
        <v>-3.1399999999999997E-2</v>
      </c>
      <c r="X77" s="64"/>
      <c r="Y77" s="64"/>
      <c r="Z77" s="69">
        <v>44563</v>
      </c>
      <c r="AA77" s="72">
        <v>144063</v>
      </c>
      <c r="AB77" s="72">
        <v>134041</v>
      </c>
      <c r="AC77" s="72">
        <v>149374</v>
      </c>
      <c r="AD77" s="72">
        <v>133710</v>
      </c>
      <c r="AE77" s="61"/>
      <c r="AF77" s="71">
        <v>7.5800000000000006E-2</v>
      </c>
      <c r="AG77" s="64"/>
      <c r="AH77" s="69">
        <v>44563</v>
      </c>
      <c r="AI77" s="72">
        <v>1907.9</v>
      </c>
      <c r="AJ77" s="72">
        <v>1796.72</v>
      </c>
      <c r="AK77" s="72">
        <v>1974.48</v>
      </c>
      <c r="AL77" s="72">
        <v>1788.39</v>
      </c>
      <c r="AM77" s="61"/>
      <c r="AN77" s="71">
        <v>6.2E-2</v>
      </c>
      <c r="AY77" s="60">
        <v>44652</v>
      </c>
      <c r="AZ77" s="61">
        <v>2022</v>
      </c>
      <c r="BA77" s="61">
        <v>4</v>
      </c>
      <c r="BB77" s="62">
        <v>89.6</v>
      </c>
      <c r="BC77" s="61">
        <v>89.2</v>
      </c>
      <c r="BD77" s="61">
        <v>90</v>
      </c>
      <c r="BE77" s="62">
        <v>7.79</v>
      </c>
      <c r="BF77" s="62">
        <v>8.3800000000000008</v>
      </c>
      <c r="BG77" s="62">
        <v>7.09</v>
      </c>
      <c r="BI77" s="3">
        <v>44652</v>
      </c>
      <c r="BJ77" s="4">
        <v>76.171899999999994</v>
      </c>
    </row>
    <row r="78" spans="1:62" x14ac:dyDescent="0.25">
      <c r="A78" s="65">
        <v>42485</v>
      </c>
      <c r="B78" s="66">
        <v>7855.05</v>
      </c>
      <c r="C78" s="66">
        <v>7894.8</v>
      </c>
      <c r="D78" s="66">
        <v>7911</v>
      </c>
      <c r="E78" s="66">
        <v>7827</v>
      </c>
      <c r="F78" s="67" t="s">
        <v>2608</v>
      </c>
      <c r="G78" s="68">
        <v>-5.5999999999999999E-3</v>
      </c>
      <c r="H78" s="64"/>
      <c r="I78" s="69">
        <v>44564</v>
      </c>
      <c r="J78" s="70">
        <v>17464.75</v>
      </c>
      <c r="K78" s="70">
        <v>16593.099999999999</v>
      </c>
      <c r="L78" s="70">
        <v>17559.8</v>
      </c>
      <c r="M78" s="70">
        <v>15671.45</v>
      </c>
      <c r="N78" s="61" t="s">
        <v>2726</v>
      </c>
      <c r="O78" s="71">
        <v>3.9899999999999998E-2</v>
      </c>
      <c r="P78" s="64"/>
      <c r="Q78" s="69">
        <v>44564</v>
      </c>
      <c r="R78" s="70">
        <v>4530.41</v>
      </c>
      <c r="S78" s="70">
        <v>4363.1400000000003</v>
      </c>
      <c r="T78" s="70">
        <v>4637.3</v>
      </c>
      <c r="U78" s="70">
        <v>4157.87</v>
      </c>
      <c r="V78" s="61"/>
      <c r="W78" s="71">
        <v>3.5799999999999998E-2</v>
      </c>
      <c r="X78" s="64"/>
      <c r="Y78" s="64"/>
      <c r="Z78" s="69">
        <v>44564</v>
      </c>
      <c r="AA78" s="72">
        <v>146952</v>
      </c>
      <c r="AB78" s="72">
        <v>144149</v>
      </c>
      <c r="AC78" s="72">
        <v>159633</v>
      </c>
      <c r="AD78" s="72">
        <v>142828</v>
      </c>
      <c r="AE78" s="61"/>
      <c r="AF78" s="71">
        <v>2.01E-2</v>
      </c>
      <c r="AG78" s="64"/>
      <c r="AH78" s="69">
        <v>44564</v>
      </c>
      <c r="AI78" s="72">
        <v>1937.23</v>
      </c>
      <c r="AJ78" s="72">
        <v>1908.19</v>
      </c>
      <c r="AK78" s="72">
        <v>2070.29</v>
      </c>
      <c r="AL78" s="72">
        <v>1890.03</v>
      </c>
      <c r="AM78" s="61"/>
      <c r="AN78" s="71">
        <v>1.54E-2</v>
      </c>
      <c r="AY78" s="60">
        <v>44682</v>
      </c>
      <c r="AZ78" s="61">
        <v>2022</v>
      </c>
      <c r="BA78" s="61">
        <v>5</v>
      </c>
      <c r="BB78" s="62">
        <v>90.4</v>
      </c>
      <c r="BC78" s="61">
        <v>90.1</v>
      </c>
      <c r="BD78" s="61">
        <v>90.9</v>
      </c>
      <c r="BE78" s="62">
        <v>7.04</v>
      </c>
      <c r="BF78" s="62">
        <v>7.08</v>
      </c>
      <c r="BG78" s="62">
        <v>7.08</v>
      </c>
      <c r="BI78" s="3">
        <v>44682</v>
      </c>
      <c r="BJ78" s="4">
        <v>77.293300000000002</v>
      </c>
    </row>
    <row r="79" spans="1:62" x14ac:dyDescent="0.25">
      <c r="A79" s="65">
        <v>42486</v>
      </c>
      <c r="B79" s="66">
        <v>7962.65</v>
      </c>
      <c r="C79" s="66">
        <v>7828.15</v>
      </c>
      <c r="D79" s="66">
        <v>7974.5</v>
      </c>
      <c r="E79" s="66">
        <v>7822.55</v>
      </c>
      <c r="F79" s="67" t="s">
        <v>2607</v>
      </c>
      <c r="G79" s="68">
        <v>1.37E-2</v>
      </c>
      <c r="H79" s="64"/>
      <c r="I79" s="69">
        <v>44565</v>
      </c>
      <c r="J79" s="70">
        <v>17102.55</v>
      </c>
      <c r="K79" s="70">
        <v>17436.900000000001</v>
      </c>
      <c r="L79" s="70">
        <v>18114.650000000001</v>
      </c>
      <c r="M79" s="70">
        <v>16824.7</v>
      </c>
      <c r="N79" s="61" t="s">
        <v>2725</v>
      </c>
      <c r="O79" s="71">
        <v>-2.07E-2</v>
      </c>
      <c r="P79" s="64"/>
      <c r="Q79" s="69">
        <v>44565</v>
      </c>
      <c r="R79" s="70">
        <v>4131.93</v>
      </c>
      <c r="S79" s="70">
        <v>4540.32</v>
      </c>
      <c r="T79" s="70">
        <v>4593.45</v>
      </c>
      <c r="U79" s="70">
        <v>4124.28</v>
      </c>
      <c r="V79" s="61"/>
      <c r="W79" s="71">
        <v>-8.7999999999999995E-2</v>
      </c>
      <c r="X79" s="64"/>
      <c r="Y79" s="64"/>
      <c r="Z79" s="69">
        <v>44565</v>
      </c>
      <c r="AA79" s="72">
        <v>145115</v>
      </c>
      <c r="AB79" s="72">
        <v>147083</v>
      </c>
      <c r="AC79" s="72">
        <v>152389</v>
      </c>
      <c r="AD79" s="72">
        <v>143543</v>
      </c>
      <c r="AE79" s="61"/>
      <c r="AF79" s="71">
        <v>-1.2500000000000001E-2</v>
      </c>
      <c r="AG79" s="64"/>
      <c r="AH79" s="69">
        <v>44565</v>
      </c>
      <c r="AI79" s="72">
        <v>1896.4</v>
      </c>
      <c r="AJ79" s="72">
        <v>1937.51</v>
      </c>
      <c r="AK79" s="72">
        <v>1998.6</v>
      </c>
      <c r="AL79" s="72">
        <v>1872.19</v>
      </c>
      <c r="AM79" s="61"/>
      <c r="AN79" s="71">
        <v>-2.1100000000000001E-2</v>
      </c>
      <c r="AY79" s="60">
        <v>44713</v>
      </c>
      <c r="AZ79" s="61">
        <v>2022</v>
      </c>
      <c r="BA79" s="61">
        <v>6</v>
      </c>
      <c r="BB79" s="62">
        <v>90.9</v>
      </c>
      <c r="BC79" s="61">
        <v>90.7</v>
      </c>
      <c r="BD79" s="61">
        <v>91.2</v>
      </c>
      <c r="BE79" s="62">
        <v>7.01</v>
      </c>
      <c r="BF79" s="62">
        <v>7.09</v>
      </c>
      <c r="BG79" s="62">
        <v>6.86</v>
      </c>
      <c r="BI79" s="3">
        <v>44713</v>
      </c>
      <c r="BJ79" s="4">
        <v>78.09</v>
      </c>
    </row>
    <row r="80" spans="1:62" x14ac:dyDescent="0.25">
      <c r="A80" s="65">
        <v>42487</v>
      </c>
      <c r="B80" s="66">
        <v>7979.9</v>
      </c>
      <c r="C80" s="66">
        <v>7942</v>
      </c>
      <c r="D80" s="66">
        <v>7991</v>
      </c>
      <c r="E80" s="66">
        <v>7940.55</v>
      </c>
      <c r="F80" s="67" t="s">
        <v>2606</v>
      </c>
      <c r="G80" s="68">
        <v>2.2000000000000001E-3</v>
      </c>
      <c r="H80" s="64"/>
      <c r="I80" s="69">
        <v>44566</v>
      </c>
      <c r="J80" s="70">
        <v>16584.55</v>
      </c>
      <c r="K80" s="70">
        <v>16924.45</v>
      </c>
      <c r="L80" s="70">
        <v>17132.849999999999</v>
      </c>
      <c r="M80" s="70">
        <v>15735.75</v>
      </c>
      <c r="N80" s="61" t="s">
        <v>2724</v>
      </c>
      <c r="O80" s="71">
        <v>-3.0300000000000001E-2</v>
      </c>
      <c r="P80" s="64"/>
      <c r="Q80" s="69">
        <v>44566</v>
      </c>
      <c r="R80" s="70">
        <v>4132.1499999999996</v>
      </c>
      <c r="S80" s="70">
        <v>4130.6099999999997</v>
      </c>
      <c r="T80" s="70">
        <v>4307.66</v>
      </c>
      <c r="U80" s="70">
        <v>3810.32</v>
      </c>
      <c r="V80" s="61"/>
      <c r="W80" s="71">
        <v>1E-4</v>
      </c>
      <c r="X80" s="64"/>
      <c r="Y80" s="64"/>
      <c r="Z80" s="69">
        <v>44566</v>
      </c>
      <c r="AA80" s="72">
        <v>142486</v>
      </c>
      <c r="AB80" s="72">
        <v>145118</v>
      </c>
      <c r="AC80" s="72">
        <v>145714</v>
      </c>
      <c r="AD80" s="72">
        <v>139190</v>
      </c>
      <c r="AE80" s="61"/>
      <c r="AF80" s="71">
        <v>-1.8100000000000002E-2</v>
      </c>
      <c r="AG80" s="64"/>
      <c r="AH80" s="69">
        <v>44566</v>
      </c>
      <c r="AI80" s="72">
        <v>1837.09</v>
      </c>
      <c r="AJ80" s="72">
        <v>1896.09</v>
      </c>
      <c r="AK80" s="72">
        <v>1910.03</v>
      </c>
      <c r="AL80" s="72">
        <v>1786.95</v>
      </c>
      <c r="AM80" s="61"/>
      <c r="AN80" s="71">
        <v>-3.1300000000000001E-2</v>
      </c>
      <c r="AY80" s="60">
        <v>44743</v>
      </c>
      <c r="AZ80" s="61">
        <v>2022</v>
      </c>
      <c r="BA80" s="61">
        <v>7</v>
      </c>
      <c r="BB80" s="62">
        <v>91.3</v>
      </c>
      <c r="BC80" s="61">
        <v>91</v>
      </c>
      <c r="BD80" s="61">
        <v>91.7</v>
      </c>
      <c r="BE80" s="62">
        <v>6.71</v>
      </c>
      <c r="BF80" s="62">
        <v>6.8</v>
      </c>
      <c r="BG80" s="62">
        <v>6.49</v>
      </c>
      <c r="BI80" s="3">
        <v>44743</v>
      </c>
      <c r="BJ80" s="4">
        <v>79.591499999999996</v>
      </c>
    </row>
    <row r="81" spans="1:62" x14ac:dyDescent="0.25">
      <c r="A81" s="65">
        <v>42488</v>
      </c>
      <c r="B81" s="66">
        <v>7847.25</v>
      </c>
      <c r="C81" s="66">
        <v>7967.4</v>
      </c>
      <c r="D81" s="66">
        <v>7992</v>
      </c>
      <c r="E81" s="66">
        <v>7834.45</v>
      </c>
      <c r="F81" s="67" t="s">
        <v>2605</v>
      </c>
      <c r="G81" s="68">
        <v>-1.66E-2</v>
      </c>
      <c r="H81" s="64"/>
      <c r="I81" s="69">
        <v>44567</v>
      </c>
      <c r="J81" s="70">
        <v>15780.25</v>
      </c>
      <c r="K81" s="70">
        <v>16594.400000000001</v>
      </c>
      <c r="L81" s="70">
        <v>16793.849999999999</v>
      </c>
      <c r="M81" s="70">
        <v>15183.4</v>
      </c>
      <c r="N81" s="61" t="s">
        <v>2723</v>
      </c>
      <c r="O81" s="71">
        <v>-4.8500000000000001E-2</v>
      </c>
      <c r="P81" s="64"/>
      <c r="Q81" s="69">
        <v>44567</v>
      </c>
      <c r="R81" s="70">
        <v>3785.38</v>
      </c>
      <c r="S81" s="70">
        <v>4149.78</v>
      </c>
      <c r="T81" s="70">
        <v>4177.51</v>
      </c>
      <c r="U81" s="70">
        <v>3636.87</v>
      </c>
      <c r="V81" s="61"/>
      <c r="W81" s="71">
        <v>-8.3900000000000002E-2</v>
      </c>
      <c r="X81" s="64"/>
      <c r="Y81" s="64"/>
      <c r="Z81" s="69">
        <v>44567</v>
      </c>
      <c r="AA81" s="72">
        <v>142618</v>
      </c>
      <c r="AB81" s="72">
        <v>142548</v>
      </c>
      <c r="AC81" s="72">
        <v>146705</v>
      </c>
      <c r="AD81" s="72">
        <v>140802</v>
      </c>
      <c r="AE81" s="61"/>
      <c r="AF81" s="71">
        <v>8.9999999999999998E-4</v>
      </c>
      <c r="AG81" s="64"/>
      <c r="AH81" s="69">
        <v>44567</v>
      </c>
      <c r="AI81" s="72">
        <v>1806.89</v>
      </c>
      <c r="AJ81" s="72">
        <v>1837.37</v>
      </c>
      <c r="AK81" s="72">
        <v>1877.38</v>
      </c>
      <c r="AL81" s="72">
        <v>1802.2</v>
      </c>
      <c r="AM81" s="61"/>
      <c r="AN81" s="71">
        <v>-1.6400000000000001E-2</v>
      </c>
      <c r="AY81" s="60">
        <v>44774</v>
      </c>
      <c r="AZ81" s="61">
        <v>2022</v>
      </c>
      <c r="BA81" s="61">
        <v>8</v>
      </c>
      <c r="BB81" s="62">
        <v>91.8</v>
      </c>
      <c r="BC81" s="61">
        <v>91.5</v>
      </c>
      <c r="BD81" s="61">
        <v>92.1</v>
      </c>
      <c r="BE81" s="62">
        <v>7</v>
      </c>
      <c r="BF81" s="62">
        <v>7.15</v>
      </c>
      <c r="BG81" s="62">
        <v>6.72</v>
      </c>
      <c r="BI81" s="3">
        <v>44774</v>
      </c>
      <c r="BJ81" s="4">
        <v>79.506500000000003</v>
      </c>
    </row>
    <row r="82" spans="1:62" x14ac:dyDescent="0.25">
      <c r="A82" s="65">
        <v>42489</v>
      </c>
      <c r="B82" s="66">
        <v>7849.8</v>
      </c>
      <c r="C82" s="66">
        <v>7844.25</v>
      </c>
      <c r="D82" s="66">
        <v>7889.05</v>
      </c>
      <c r="E82" s="66">
        <v>7788.7</v>
      </c>
      <c r="F82" s="67" t="s">
        <v>2604</v>
      </c>
      <c r="G82" s="68">
        <v>2.9999999999999997E-4</v>
      </c>
      <c r="H82" s="64"/>
      <c r="I82" s="69">
        <v>44568</v>
      </c>
      <c r="J82" s="70">
        <v>17158.25</v>
      </c>
      <c r="K82" s="70">
        <v>15703.7</v>
      </c>
      <c r="L82" s="70">
        <v>17172.8</v>
      </c>
      <c r="M82" s="70">
        <v>15511.05</v>
      </c>
      <c r="N82" s="61" t="s">
        <v>2722</v>
      </c>
      <c r="O82" s="71">
        <v>8.7300000000000003E-2</v>
      </c>
      <c r="P82" s="64"/>
      <c r="Q82" s="69">
        <v>44568</v>
      </c>
      <c r="R82" s="70">
        <v>4130.29</v>
      </c>
      <c r="S82" s="70">
        <v>3781</v>
      </c>
      <c r="T82" s="70">
        <v>4140.1499999999996</v>
      </c>
      <c r="U82" s="70">
        <v>3721.56</v>
      </c>
      <c r="V82" s="61"/>
      <c r="W82" s="71">
        <v>9.11E-2</v>
      </c>
      <c r="X82" s="64"/>
      <c r="Y82" s="64"/>
      <c r="Z82" s="69">
        <v>44568</v>
      </c>
      <c r="AA82" s="72">
        <v>140075</v>
      </c>
      <c r="AB82" s="72">
        <v>142687</v>
      </c>
      <c r="AC82" s="72">
        <v>143360</v>
      </c>
      <c r="AD82" s="72">
        <v>134205</v>
      </c>
      <c r="AE82" s="61"/>
      <c r="AF82" s="71">
        <v>-1.78E-2</v>
      </c>
      <c r="AG82" s="64"/>
      <c r="AH82" s="69">
        <v>44568</v>
      </c>
      <c r="AI82" s="72">
        <v>1765.22</v>
      </c>
      <c r="AJ82" s="72">
        <v>1807.31</v>
      </c>
      <c r="AK82" s="72">
        <v>1814.36</v>
      </c>
      <c r="AL82" s="72">
        <v>1680.78</v>
      </c>
      <c r="AM82" s="61"/>
      <c r="AN82" s="71">
        <v>-2.3099999999999999E-2</v>
      </c>
      <c r="AY82" s="60">
        <v>44805</v>
      </c>
      <c r="AZ82" s="61">
        <v>2022</v>
      </c>
      <c r="BA82" s="61">
        <v>9</v>
      </c>
      <c r="BB82" s="62">
        <v>92.3</v>
      </c>
      <c r="BC82" s="61">
        <v>92.1</v>
      </c>
      <c r="BD82" s="61">
        <v>92.6</v>
      </c>
      <c r="BE82" s="62">
        <v>7.41</v>
      </c>
      <c r="BF82" s="62">
        <v>7.56</v>
      </c>
      <c r="BG82" s="62">
        <v>7.27</v>
      </c>
      <c r="BI82" s="3">
        <v>44805</v>
      </c>
      <c r="BJ82" s="4">
        <v>80.253799999999998</v>
      </c>
    </row>
    <row r="83" spans="1:62" x14ac:dyDescent="0.25">
      <c r="A83" s="65">
        <v>42492</v>
      </c>
      <c r="B83" s="66">
        <v>7805.9</v>
      </c>
      <c r="C83" s="66">
        <v>7822.7</v>
      </c>
      <c r="D83" s="66">
        <v>7829.8</v>
      </c>
      <c r="E83" s="66">
        <v>7777.3</v>
      </c>
      <c r="F83" s="67" t="s">
        <v>2603</v>
      </c>
      <c r="G83" s="68">
        <v>-5.5999999999999999E-3</v>
      </c>
      <c r="H83" s="64"/>
      <c r="I83" s="69">
        <v>44569</v>
      </c>
      <c r="J83" s="70">
        <v>17759.3</v>
      </c>
      <c r="K83" s="70">
        <v>17243.2</v>
      </c>
      <c r="L83" s="70">
        <v>17992.2</v>
      </c>
      <c r="M83" s="70">
        <v>17154.8</v>
      </c>
      <c r="N83" s="61" t="s">
        <v>2721</v>
      </c>
      <c r="O83" s="71">
        <v>3.5000000000000003E-2</v>
      </c>
      <c r="P83" s="64"/>
      <c r="Q83" s="69">
        <v>44569</v>
      </c>
      <c r="R83" s="70">
        <v>3955</v>
      </c>
      <c r="S83" s="70">
        <v>4112.38</v>
      </c>
      <c r="T83" s="70">
        <v>4325.28</v>
      </c>
      <c r="U83" s="70">
        <v>3954.53</v>
      </c>
      <c r="V83" s="61"/>
      <c r="W83" s="71">
        <v>-4.24E-2</v>
      </c>
      <c r="X83" s="64"/>
      <c r="Y83" s="64"/>
      <c r="Z83" s="69">
        <v>44569</v>
      </c>
      <c r="AA83" s="72">
        <v>135921</v>
      </c>
      <c r="AB83" s="72">
        <v>140058</v>
      </c>
      <c r="AC83" s="72">
        <v>143678</v>
      </c>
      <c r="AD83" s="72">
        <v>135845</v>
      </c>
      <c r="AE83" s="61"/>
      <c r="AF83" s="71">
        <v>-2.9700000000000001E-2</v>
      </c>
      <c r="AG83" s="64"/>
      <c r="AH83" s="69">
        <v>44569</v>
      </c>
      <c r="AI83" s="72">
        <v>1710.7</v>
      </c>
      <c r="AJ83" s="72">
        <v>1765.05</v>
      </c>
      <c r="AK83" s="72">
        <v>1807.9</v>
      </c>
      <c r="AL83" s="72">
        <v>1709.1</v>
      </c>
      <c r="AM83" s="61"/>
      <c r="AN83" s="71">
        <v>-3.09E-2</v>
      </c>
      <c r="AY83" s="60">
        <v>44835</v>
      </c>
      <c r="AZ83" s="61">
        <v>2022</v>
      </c>
      <c r="BA83" s="61">
        <v>10</v>
      </c>
      <c r="BB83" s="62">
        <v>93.1</v>
      </c>
      <c r="BC83" s="61">
        <v>92.9</v>
      </c>
      <c r="BD83" s="61">
        <v>93.3</v>
      </c>
      <c r="BE83" s="62">
        <v>6.77</v>
      </c>
      <c r="BF83" s="62">
        <v>6.98</v>
      </c>
      <c r="BG83" s="62">
        <v>6.5</v>
      </c>
      <c r="BI83" s="3">
        <v>44835</v>
      </c>
      <c r="BJ83" s="4">
        <v>82.291499999999999</v>
      </c>
    </row>
    <row r="84" spans="1:62" x14ac:dyDescent="0.25">
      <c r="A84" s="65">
        <v>42493</v>
      </c>
      <c r="B84" s="66">
        <v>7747</v>
      </c>
      <c r="C84" s="66">
        <v>7824.8</v>
      </c>
      <c r="D84" s="66">
        <v>7890.25</v>
      </c>
      <c r="E84" s="66">
        <v>7735.15</v>
      </c>
      <c r="F84" s="67" t="s">
        <v>2602</v>
      </c>
      <c r="G84" s="68">
        <v>-7.4999999999999997E-3</v>
      </c>
      <c r="H84" s="64"/>
      <c r="I84" s="69">
        <v>44570</v>
      </c>
      <c r="J84" s="70">
        <v>17094.349999999999</v>
      </c>
      <c r="K84" s="70">
        <v>17485.7</v>
      </c>
      <c r="L84" s="70">
        <v>18096.150000000001</v>
      </c>
      <c r="M84" s="70">
        <v>16747.7</v>
      </c>
      <c r="N84" s="61" t="s">
        <v>2720</v>
      </c>
      <c r="O84" s="71">
        <v>-3.7400000000000003E-2</v>
      </c>
      <c r="P84" s="64"/>
      <c r="Q84" s="69">
        <v>44570</v>
      </c>
      <c r="R84" s="70">
        <v>3585.62</v>
      </c>
      <c r="S84" s="70">
        <v>3936.73</v>
      </c>
      <c r="T84" s="70">
        <v>4119.28</v>
      </c>
      <c r="U84" s="70">
        <v>3584.13</v>
      </c>
      <c r="V84" s="61"/>
      <c r="W84" s="71">
        <v>-9.3399999999999997E-2</v>
      </c>
      <c r="X84" s="64"/>
      <c r="Y84" s="64"/>
      <c r="Z84" s="69">
        <v>44570</v>
      </c>
      <c r="AA84" s="72">
        <v>135288</v>
      </c>
      <c r="AB84" s="72">
        <v>136038</v>
      </c>
      <c r="AC84" s="72">
        <v>137844</v>
      </c>
      <c r="AD84" s="72">
        <v>132015</v>
      </c>
      <c r="AE84" s="61"/>
      <c r="AF84" s="71">
        <v>-4.7000000000000002E-3</v>
      </c>
      <c r="AG84" s="64"/>
      <c r="AH84" s="69">
        <v>44570</v>
      </c>
      <c r="AI84" s="72">
        <v>1659.67</v>
      </c>
      <c r="AJ84" s="72">
        <v>1711.09</v>
      </c>
      <c r="AK84" s="72">
        <v>1735.37</v>
      </c>
      <c r="AL84" s="72">
        <v>1614.35</v>
      </c>
      <c r="AM84" s="61"/>
      <c r="AN84" s="71">
        <v>-2.98E-2</v>
      </c>
      <c r="AY84" s="60">
        <v>44866</v>
      </c>
      <c r="AZ84" s="61">
        <v>2022</v>
      </c>
      <c r="BA84" s="61">
        <v>11</v>
      </c>
      <c r="BB84" s="62">
        <v>93</v>
      </c>
      <c r="BC84" s="61">
        <v>92.8</v>
      </c>
      <c r="BD84" s="61">
        <v>93.1</v>
      </c>
      <c r="BE84" s="62">
        <v>5.88</v>
      </c>
      <c r="BF84" s="62">
        <v>6.09</v>
      </c>
      <c r="BG84" s="62">
        <v>5.68</v>
      </c>
      <c r="BI84" s="3">
        <v>44866</v>
      </c>
      <c r="BJ84" s="4">
        <v>81.680499999999995</v>
      </c>
    </row>
    <row r="85" spans="1:62" x14ac:dyDescent="0.25">
      <c r="A85" s="65">
        <v>42494</v>
      </c>
      <c r="B85" s="66">
        <v>7706.55</v>
      </c>
      <c r="C85" s="66">
        <v>7724.15</v>
      </c>
      <c r="D85" s="66">
        <v>7749</v>
      </c>
      <c r="E85" s="66">
        <v>7697.25</v>
      </c>
      <c r="F85" s="67" t="s">
        <v>2601</v>
      </c>
      <c r="G85" s="68">
        <v>-5.1999999999999998E-3</v>
      </c>
      <c r="H85" s="64"/>
      <c r="I85" s="69">
        <v>44571</v>
      </c>
      <c r="J85" s="70">
        <v>18012.2</v>
      </c>
      <c r="K85" s="70">
        <v>17102.099999999999</v>
      </c>
      <c r="L85" s="70">
        <v>18022.8</v>
      </c>
      <c r="M85" s="70">
        <v>16855.55</v>
      </c>
      <c r="N85" s="61" t="s">
        <v>2719</v>
      </c>
      <c r="O85" s="71">
        <v>5.3699999999999998E-2</v>
      </c>
      <c r="P85" s="64"/>
      <c r="Q85" s="69">
        <v>44571</v>
      </c>
      <c r="R85" s="70">
        <v>3871.98</v>
      </c>
      <c r="S85" s="70">
        <v>3609.78</v>
      </c>
      <c r="T85" s="70">
        <v>3905.42</v>
      </c>
      <c r="U85" s="70">
        <v>3491.58</v>
      </c>
      <c r="V85" s="61"/>
      <c r="W85" s="71">
        <v>7.9899999999999999E-2</v>
      </c>
      <c r="X85" s="64"/>
      <c r="Y85" s="64"/>
      <c r="Z85" s="69">
        <v>44571</v>
      </c>
      <c r="AA85" s="72">
        <v>135166</v>
      </c>
      <c r="AB85" s="72">
        <v>135431</v>
      </c>
      <c r="AC85" s="72">
        <v>141339</v>
      </c>
      <c r="AD85" s="72">
        <v>133921</v>
      </c>
      <c r="AE85" s="61"/>
      <c r="AF85" s="71">
        <v>-8.9999999999999998E-4</v>
      </c>
      <c r="AG85" s="64"/>
      <c r="AH85" s="69">
        <v>44571</v>
      </c>
      <c r="AI85" s="72">
        <v>1633.12</v>
      </c>
      <c r="AJ85" s="72">
        <v>1661.3</v>
      </c>
      <c r="AK85" s="72">
        <v>1729.73</v>
      </c>
      <c r="AL85" s="72">
        <v>1617.21</v>
      </c>
      <c r="AM85" s="61"/>
      <c r="AN85" s="71">
        <v>-1.6E-2</v>
      </c>
      <c r="AY85" s="60">
        <v>44896</v>
      </c>
      <c r="AZ85" s="61">
        <v>2022</v>
      </c>
      <c r="BA85" s="61">
        <v>12</v>
      </c>
      <c r="BB85" s="62">
        <v>92.5</v>
      </c>
      <c r="BC85" s="61">
        <v>92.5</v>
      </c>
      <c r="BD85" s="61">
        <v>92.6</v>
      </c>
      <c r="BE85" s="62">
        <v>5.72</v>
      </c>
      <c r="BF85" s="62">
        <v>6.05</v>
      </c>
      <c r="BG85" s="62">
        <v>5.39</v>
      </c>
      <c r="BI85" s="3">
        <v>44896</v>
      </c>
      <c r="BJ85" s="4">
        <v>82.473799999999997</v>
      </c>
    </row>
    <row r="86" spans="1:62" x14ac:dyDescent="0.25">
      <c r="A86" s="65">
        <v>42495</v>
      </c>
      <c r="B86" s="66">
        <v>7735.5</v>
      </c>
      <c r="C86" s="66">
        <v>7731</v>
      </c>
      <c r="D86" s="66">
        <v>7777.55</v>
      </c>
      <c r="E86" s="66">
        <v>7706.85</v>
      </c>
      <c r="F86" s="67" t="s">
        <v>2600</v>
      </c>
      <c r="G86" s="68">
        <v>3.8E-3</v>
      </c>
      <c r="H86" s="64"/>
      <c r="I86" s="69">
        <v>44572</v>
      </c>
      <c r="J86" s="70">
        <v>18758.349999999999</v>
      </c>
      <c r="K86" s="70">
        <v>18130.7</v>
      </c>
      <c r="L86" s="70">
        <v>18816.05</v>
      </c>
      <c r="M86" s="70">
        <v>17959.2</v>
      </c>
      <c r="N86" s="61" t="s">
        <v>2718</v>
      </c>
      <c r="O86" s="71">
        <v>4.1399999999999999E-2</v>
      </c>
      <c r="P86" s="64"/>
      <c r="Q86" s="69">
        <v>44572</v>
      </c>
      <c r="R86" s="70">
        <v>4080.11</v>
      </c>
      <c r="S86" s="70">
        <v>3901.79</v>
      </c>
      <c r="T86" s="70">
        <v>4080.11</v>
      </c>
      <c r="U86" s="70">
        <v>3698.15</v>
      </c>
      <c r="V86" s="61"/>
      <c r="W86" s="71">
        <v>5.3800000000000001E-2</v>
      </c>
      <c r="X86" s="64"/>
      <c r="Y86" s="64"/>
      <c r="Z86" s="69">
        <v>44572</v>
      </c>
      <c r="AA86" s="72">
        <v>143831</v>
      </c>
      <c r="AB86" s="72">
        <v>135208</v>
      </c>
      <c r="AC86" s="72">
        <v>145124</v>
      </c>
      <c r="AD86" s="72">
        <v>133975</v>
      </c>
      <c r="AE86" s="61"/>
      <c r="AF86" s="71">
        <v>6.4100000000000004E-2</v>
      </c>
      <c r="AG86" s="64"/>
      <c r="AH86" s="69">
        <v>44572</v>
      </c>
      <c r="AI86" s="72">
        <v>1768.45</v>
      </c>
      <c r="AJ86" s="72">
        <v>1633.4</v>
      </c>
      <c r="AK86" s="72">
        <v>1786.68</v>
      </c>
      <c r="AL86" s="72">
        <v>1616.18</v>
      </c>
      <c r="AM86" s="61"/>
      <c r="AN86" s="71">
        <v>8.2900000000000001E-2</v>
      </c>
      <c r="AY86" s="60">
        <v>44927</v>
      </c>
      <c r="AZ86" s="61">
        <v>2023</v>
      </c>
      <c r="BA86" s="61">
        <v>1</v>
      </c>
      <c r="BB86" s="62">
        <v>93</v>
      </c>
      <c r="BC86" s="61">
        <v>92.8</v>
      </c>
      <c r="BD86" s="61">
        <v>93</v>
      </c>
      <c r="BE86" s="62">
        <v>6.52</v>
      </c>
      <c r="BF86" s="62">
        <v>6.85</v>
      </c>
      <c r="BG86" s="62">
        <v>6</v>
      </c>
      <c r="BI86" s="3">
        <v>44927</v>
      </c>
      <c r="BJ86" s="4">
        <v>81.741</v>
      </c>
    </row>
    <row r="87" spans="1:62" x14ac:dyDescent="0.25">
      <c r="A87" s="65">
        <v>42496</v>
      </c>
      <c r="B87" s="66">
        <v>7733.45</v>
      </c>
      <c r="C87" s="66">
        <v>7717.65</v>
      </c>
      <c r="D87" s="66">
        <v>7738.9</v>
      </c>
      <c r="E87" s="66">
        <v>7678.35</v>
      </c>
      <c r="F87" s="67" t="s">
        <v>2599</v>
      </c>
      <c r="G87" s="68">
        <v>-2.9999999999999997E-4</v>
      </c>
      <c r="H87" s="64"/>
      <c r="I87" s="69">
        <v>44573</v>
      </c>
      <c r="J87" s="70">
        <v>18105.3</v>
      </c>
      <c r="K87" s="70">
        <v>18871.95</v>
      </c>
      <c r="L87" s="70">
        <v>18887.599999999999</v>
      </c>
      <c r="M87" s="70">
        <v>17774.25</v>
      </c>
      <c r="N87" s="61" t="s">
        <v>2717</v>
      </c>
      <c r="O87" s="71">
        <v>-3.4799999999999998E-2</v>
      </c>
      <c r="P87" s="64"/>
      <c r="Q87" s="69">
        <v>44573</v>
      </c>
      <c r="R87" s="70">
        <v>3839.5</v>
      </c>
      <c r="S87" s="70">
        <v>4087.14</v>
      </c>
      <c r="T87" s="70">
        <v>4100.96</v>
      </c>
      <c r="U87" s="70">
        <v>3764.49</v>
      </c>
      <c r="V87" s="61"/>
      <c r="W87" s="71">
        <v>-5.8999999999999997E-2</v>
      </c>
      <c r="X87" s="64"/>
      <c r="Y87" s="64"/>
      <c r="Z87" s="69">
        <v>44573</v>
      </c>
      <c r="AA87" s="72">
        <v>150909</v>
      </c>
      <c r="AB87" s="72">
        <v>143966</v>
      </c>
      <c r="AC87" s="72">
        <v>151995</v>
      </c>
      <c r="AD87" s="72">
        <v>143804</v>
      </c>
      <c r="AE87" s="61"/>
      <c r="AF87" s="71">
        <v>4.9200000000000001E-2</v>
      </c>
      <c r="AG87" s="64"/>
      <c r="AH87" s="69">
        <v>44573</v>
      </c>
      <c r="AI87" s="72">
        <v>1824.4</v>
      </c>
      <c r="AJ87" s="72">
        <v>1768.54</v>
      </c>
      <c r="AK87" s="72">
        <v>1833.39</v>
      </c>
      <c r="AL87" s="72">
        <v>1765.32</v>
      </c>
      <c r="AM87" s="61"/>
      <c r="AN87" s="71">
        <v>3.1600000000000003E-2</v>
      </c>
      <c r="AY87" s="60">
        <v>44958</v>
      </c>
      <c r="AZ87" s="61">
        <v>2023</v>
      </c>
      <c r="BA87" s="61">
        <v>2</v>
      </c>
      <c r="BB87" s="62">
        <v>93.1</v>
      </c>
      <c r="BC87" s="61">
        <v>92.9</v>
      </c>
      <c r="BD87" s="61">
        <v>93.4</v>
      </c>
      <c r="BE87" s="62">
        <v>6.44</v>
      </c>
      <c r="BF87" s="62">
        <v>6.72</v>
      </c>
      <c r="BG87" s="62">
        <v>6.1</v>
      </c>
      <c r="BI87" s="3">
        <v>44958</v>
      </c>
      <c r="BJ87" s="4">
        <v>82.599500000000006</v>
      </c>
    </row>
    <row r="88" spans="1:62" x14ac:dyDescent="0.25">
      <c r="A88" s="65">
        <v>42499</v>
      </c>
      <c r="B88" s="66">
        <v>7866.05</v>
      </c>
      <c r="C88" s="66">
        <v>7755.25</v>
      </c>
      <c r="D88" s="66">
        <v>7873.65</v>
      </c>
      <c r="E88" s="66">
        <v>7753.55</v>
      </c>
      <c r="F88" s="67" t="s">
        <v>2598</v>
      </c>
      <c r="G88" s="68">
        <v>1.7100000000000001E-2</v>
      </c>
      <c r="H88" s="64"/>
      <c r="I88" s="69">
        <v>44927</v>
      </c>
      <c r="J88" s="70">
        <v>17662.150000000001</v>
      </c>
      <c r="K88" s="70">
        <v>18131.7</v>
      </c>
      <c r="L88" s="70">
        <v>18251.95</v>
      </c>
      <c r="M88" s="70">
        <v>17405.55</v>
      </c>
      <c r="N88" s="61" t="s">
        <v>2716</v>
      </c>
      <c r="O88" s="71">
        <v>-2.4500000000000001E-2</v>
      </c>
      <c r="P88" s="64"/>
      <c r="Q88" s="69">
        <v>44927</v>
      </c>
      <c r="R88" s="70">
        <v>4076.6</v>
      </c>
      <c r="S88" s="70">
        <v>3853.29</v>
      </c>
      <c r="T88" s="70">
        <v>4094.21</v>
      </c>
      <c r="U88" s="70">
        <v>3794.33</v>
      </c>
      <c r="V88" s="61"/>
      <c r="W88" s="71">
        <v>6.1800000000000001E-2</v>
      </c>
      <c r="X88" s="64"/>
      <c r="Y88" s="64"/>
      <c r="Z88" s="69">
        <v>44927</v>
      </c>
      <c r="AA88" s="72">
        <v>157527</v>
      </c>
      <c r="AB88" s="72">
        <v>150914</v>
      </c>
      <c r="AC88" s="72">
        <v>158902</v>
      </c>
      <c r="AD88" s="72">
        <v>150585</v>
      </c>
      <c r="AE88" s="61"/>
      <c r="AF88" s="71">
        <v>4.3900000000000002E-2</v>
      </c>
      <c r="AG88" s="64"/>
      <c r="AH88" s="69">
        <v>44927</v>
      </c>
      <c r="AI88" s="72">
        <v>1927.88</v>
      </c>
      <c r="AJ88" s="72">
        <v>1823.85</v>
      </c>
      <c r="AK88" s="72">
        <v>1949.27</v>
      </c>
      <c r="AL88" s="72">
        <v>1823.85</v>
      </c>
      <c r="AM88" s="61"/>
      <c r="AN88" s="71">
        <v>5.67E-2</v>
      </c>
      <c r="AY88" s="60">
        <v>44986</v>
      </c>
      <c r="AZ88" s="61">
        <v>2023</v>
      </c>
      <c r="BA88" s="61">
        <v>3</v>
      </c>
      <c r="BB88" s="62">
        <v>93.3</v>
      </c>
      <c r="BC88" s="61">
        <v>93</v>
      </c>
      <c r="BD88" s="61">
        <v>93.8</v>
      </c>
      <c r="BE88" s="62">
        <v>5.66</v>
      </c>
      <c r="BF88" s="62">
        <v>5.51</v>
      </c>
      <c r="BG88" s="62">
        <v>5.89</v>
      </c>
      <c r="BI88" s="3">
        <v>44986</v>
      </c>
      <c r="BJ88" s="4">
        <v>82.266499999999994</v>
      </c>
    </row>
    <row r="89" spans="1:62" x14ac:dyDescent="0.25">
      <c r="A89" s="65">
        <v>42500</v>
      </c>
      <c r="B89" s="66">
        <v>7887.8</v>
      </c>
      <c r="C89" s="66">
        <v>7873.55</v>
      </c>
      <c r="D89" s="66">
        <v>7896.9</v>
      </c>
      <c r="E89" s="66">
        <v>7837.7</v>
      </c>
      <c r="F89" s="67" t="s">
        <v>2597</v>
      </c>
      <c r="G89" s="68">
        <v>2.8E-3</v>
      </c>
      <c r="H89" s="64"/>
      <c r="I89" s="69">
        <v>44928</v>
      </c>
      <c r="J89" s="70">
        <v>17303.95</v>
      </c>
      <c r="K89" s="70">
        <v>17811.599999999999</v>
      </c>
      <c r="L89" s="70">
        <v>18134.75</v>
      </c>
      <c r="M89" s="70">
        <v>17255.2</v>
      </c>
      <c r="N89" s="61" t="s">
        <v>2715</v>
      </c>
      <c r="O89" s="71">
        <v>-2.0299999999999999E-2</v>
      </c>
      <c r="P89" s="64"/>
      <c r="Q89" s="69">
        <v>44928</v>
      </c>
      <c r="R89" s="70">
        <v>3970.15</v>
      </c>
      <c r="S89" s="70">
        <v>4070.07</v>
      </c>
      <c r="T89" s="70">
        <v>4195.4399999999996</v>
      </c>
      <c r="U89" s="70">
        <v>3943.08</v>
      </c>
      <c r="V89" s="61"/>
      <c r="W89" s="71">
        <v>-2.6100000000000002E-2</v>
      </c>
      <c r="X89" s="64"/>
      <c r="Y89" s="64"/>
      <c r="Z89" s="69">
        <v>44928</v>
      </c>
      <c r="AA89" s="72">
        <v>150965</v>
      </c>
      <c r="AB89" s="72">
        <v>157685</v>
      </c>
      <c r="AC89" s="72">
        <v>160925</v>
      </c>
      <c r="AD89" s="72">
        <v>149223</v>
      </c>
      <c r="AE89" s="61"/>
      <c r="AF89" s="71">
        <v>-4.1700000000000001E-2</v>
      </c>
      <c r="AG89" s="64"/>
      <c r="AH89" s="69">
        <v>44928</v>
      </c>
      <c r="AI89" s="72">
        <v>1827.15</v>
      </c>
      <c r="AJ89" s="72">
        <v>1927.92</v>
      </c>
      <c r="AK89" s="72">
        <v>1959.77</v>
      </c>
      <c r="AL89" s="72">
        <v>1804.65</v>
      </c>
      <c r="AM89" s="61"/>
      <c r="AN89" s="71">
        <v>-5.2200000000000003E-2</v>
      </c>
      <c r="AY89" s="60">
        <v>45017</v>
      </c>
      <c r="AZ89" s="61">
        <v>2023</v>
      </c>
      <c r="BA89" s="61">
        <v>4</v>
      </c>
      <c r="BB89" s="62">
        <v>93.8</v>
      </c>
      <c r="BC89" s="61">
        <v>93.4</v>
      </c>
      <c r="BD89" s="61">
        <v>94.4</v>
      </c>
      <c r="BE89" s="62">
        <v>4.7</v>
      </c>
      <c r="BF89" s="62">
        <v>4.68</v>
      </c>
      <c r="BG89" s="62">
        <v>4.8499999999999996</v>
      </c>
      <c r="BI89" s="3">
        <v>45017</v>
      </c>
      <c r="BJ89" s="4">
        <v>81.968500000000006</v>
      </c>
    </row>
    <row r="90" spans="1:62" x14ac:dyDescent="0.25">
      <c r="A90" s="65">
        <v>42501</v>
      </c>
      <c r="B90" s="66">
        <v>7848.85</v>
      </c>
      <c r="C90" s="66">
        <v>7804.65</v>
      </c>
      <c r="D90" s="66">
        <v>7893.1</v>
      </c>
      <c r="E90" s="66">
        <v>7780.9</v>
      </c>
      <c r="F90" s="67" t="s">
        <v>2596</v>
      </c>
      <c r="G90" s="68">
        <v>-4.8999999999999998E-3</v>
      </c>
      <c r="H90" s="64"/>
      <c r="I90" s="69">
        <v>44929</v>
      </c>
      <c r="J90" s="70">
        <v>17359.75</v>
      </c>
      <c r="K90" s="70">
        <v>17360.099999999999</v>
      </c>
      <c r="L90" s="70">
        <v>17799.95</v>
      </c>
      <c r="M90" s="70">
        <v>16828.349999999999</v>
      </c>
      <c r="N90" s="61" t="s">
        <v>2714</v>
      </c>
      <c r="O90" s="71">
        <v>3.2000000000000002E-3</v>
      </c>
      <c r="P90" s="64"/>
      <c r="Q90" s="69">
        <v>44929</v>
      </c>
      <c r="R90" s="70">
        <v>4109.3100000000004</v>
      </c>
      <c r="S90" s="70">
        <v>3963.34</v>
      </c>
      <c r="T90" s="70">
        <v>4110.75</v>
      </c>
      <c r="U90" s="70">
        <v>3808.86</v>
      </c>
      <c r="V90" s="61"/>
      <c r="W90" s="71">
        <v>3.5099999999999999E-2</v>
      </c>
      <c r="X90" s="64"/>
      <c r="Y90" s="64"/>
      <c r="Z90" s="69">
        <v>44929</v>
      </c>
      <c r="AA90" s="72">
        <v>161748</v>
      </c>
      <c r="AB90" s="72">
        <v>151077</v>
      </c>
      <c r="AC90" s="72">
        <v>166191</v>
      </c>
      <c r="AD90" s="72">
        <v>148359</v>
      </c>
      <c r="AE90" s="61"/>
      <c r="AF90" s="71">
        <v>7.1400000000000005E-2</v>
      </c>
      <c r="AG90" s="64"/>
      <c r="AH90" s="69">
        <v>44929</v>
      </c>
      <c r="AI90" s="72">
        <v>1967.9</v>
      </c>
      <c r="AJ90" s="72">
        <v>1827.24</v>
      </c>
      <c r="AK90" s="72">
        <v>2010.19</v>
      </c>
      <c r="AL90" s="72">
        <v>1809.4</v>
      </c>
      <c r="AM90" s="61"/>
      <c r="AN90" s="71">
        <v>7.6999999999999999E-2</v>
      </c>
      <c r="AY90" s="60">
        <v>45047</v>
      </c>
      <c r="AZ90" s="61">
        <v>2023</v>
      </c>
      <c r="BA90" s="61">
        <v>5</v>
      </c>
      <c r="BB90" s="62">
        <v>94.3</v>
      </c>
      <c r="BC90" s="61">
        <v>93.9</v>
      </c>
      <c r="BD90" s="61">
        <v>94.8</v>
      </c>
      <c r="BE90" s="62">
        <v>4.3099999999999996</v>
      </c>
      <c r="BF90" s="62">
        <v>4.2300000000000004</v>
      </c>
      <c r="BG90" s="62">
        <v>4.33</v>
      </c>
      <c r="BI90" s="3">
        <v>45047</v>
      </c>
      <c r="BJ90" s="4">
        <v>82.297700000000006</v>
      </c>
    </row>
    <row r="91" spans="1:62" x14ac:dyDescent="0.25">
      <c r="A91" s="65">
        <v>42502</v>
      </c>
      <c r="B91" s="66">
        <v>7900.4</v>
      </c>
      <c r="C91" s="66">
        <v>7871.45</v>
      </c>
      <c r="D91" s="66">
        <v>7916.05</v>
      </c>
      <c r="E91" s="66">
        <v>7849.65</v>
      </c>
      <c r="F91" s="67" t="s">
        <v>2595</v>
      </c>
      <c r="G91" s="68">
        <v>6.6E-3</v>
      </c>
      <c r="H91" s="64"/>
      <c r="I91" s="69">
        <v>44930</v>
      </c>
      <c r="J91" s="70">
        <v>18065</v>
      </c>
      <c r="K91" s="70">
        <v>17427.95</v>
      </c>
      <c r="L91" s="70">
        <v>18089.150000000001</v>
      </c>
      <c r="M91" s="70">
        <v>17312.75</v>
      </c>
      <c r="N91" s="61" t="s">
        <v>2713</v>
      </c>
      <c r="O91" s="71">
        <v>4.0599999999999997E-2</v>
      </c>
      <c r="P91" s="64"/>
      <c r="Q91" s="69">
        <v>44930</v>
      </c>
      <c r="R91" s="70">
        <v>4169.4799999999996</v>
      </c>
      <c r="S91" s="70">
        <v>4102.2</v>
      </c>
      <c r="T91" s="70">
        <v>4170.0600000000004</v>
      </c>
      <c r="U91" s="70">
        <v>4049.35</v>
      </c>
      <c r="V91" s="61"/>
      <c r="W91" s="71">
        <v>1.46E-2</v>
      </c>
      <c r="X91" s="64"/>
      <c r="Y91" s="64"/>
      <c r="Z91" s="69">
        <v>44930</v>
      </c>
      <c r="AA91" s="72">
        <v>162574</v>
      </c>
      <c r="AB91" s="72">
        <v>161974</v>
      </c>
      <c r="AC91" s="72">
        <v>167338</v>
      </c>
      <c r="AD91" s="72">
        <v>160702</v>
      </c>
      <c r="AE91" s="61"/>
      <c r="AF91" s="71">
        <v>5.1000000000000004E-3</v>
      </c>
      <c r="AG91" s="64"/>
      <c r="AH91" s="69">
        <v>44930</v>
      </c>
      <c r="AI91" s="72">
        <v>1989.65</v>
      </c>
      <c r="AJ91" s="72">
        <v>1970.84</v>
      </c>
      <c r="AK91" s="72">
        <v>2048.84</v>
      </c>
      <c r="AL91" s="72">
        <v>1949.82</v>
      </c>
      <c r="AM91" s="61"/>
      <c r="AN91" s="71">
        <v>1.11E-2</v>
      </c>
      <c r="AY91" s="60">
        <v>45078</v>
      </c>
      <c r="AZ91" s="61">
        <v>2023</v>
      </c>
      <c r="BA91" s="61">
        <v>6</v>
      </c>
      <c r="BB91" s="62">
        <v>95.3</v>
      </c>
      <c r="BC91" s="61">
        <v>95</v>
      </c>
      <c r="BD91" s="61">
        <v>95.7</v>
      </c>
      <c r="BE91" s="62">
        <v>4.87</v>
      </c>
      <c r="BF91" s="62">
        <v>4.78</v>
      </c>
      <c r="BG91" s="62">
        <v>4.96</v>
      </c>
      <c r="BI91" s="3">
        <v>45078</v>
      </c>
      <c r="BJ91" s="4">
        <v>82.225200000000001</v>
      </c>
    </row>
    <row r="92" spans="1:62" x14ac:dyDescent="0.25">
      <c r="A92" s="65">
        <v>42503</v>
      </c>
      <c r="B92" s="66">
        <v>7814.9</v>
      </c>
      <c r="C92" s="66">
        <v>7881</v>
      </c>
      <c r="D92" s="66">
        <v>7881</v>
      </c>
      <c r="E92" s="66">
        <v>7784.2</v>
      </c>
      <c r="F92" s="67" t="s">
        <v>2594</v>
      </c>
      <c r="G92" s="68">
        <v>-1.0800000000000001E-2</v>
      </c>
      <c r="H92" s="64"/>
      <c r="I92" s="69">
        <v>44931</v>
      </c>
      <c r="J92" s="70">
        <v>18534.400000000001</v>
      </c>
      <c r="K92" s="70">
        <v>18124.8</v>
      </c>
      <c r="L92" s="70">
        <v>18662.45</v>
      </c>
      <c r="M92" s="70">
        <v>18042.400000000001</v>
      </c>
      <c r="N92" s="61" t="s">
        <v>2712</v>
      </c>
      <c r="O92" s="71">
        <v>2.5999999999999999E-2</v>
      </c>
      <c r="P92" s="64"/>
      <c r="Q92" s="69">
        <v>44931</v>
      </c>
      <c r="R92" s="70">
        <v>4179.83</v>
      </c>
      <c r="S92" s="70">
        <v>4166.79</v>
      </c>
      <c r="T92" s="70">
        <v>4231.1000000000004</v>
      </c>
      <c r="U92" s="70">
        <v>4048.28</v>
      </c>
      <c r="V92" s="61"/>
      <c r="W92" s="71">
        <v>2.5000000000000001E-3</v>
      </c>
      <c r="X92" s="64"/>
      <c r="Y92" s="64"/>
      <c r="Z92" s="69">
        <v>44931</v>
      </c>
      <c r="AA92" s="72">
        <v>162177</v>
      </c>
      <c r="AB92" s="72">
        <v>162783</v>
      </c>
      <c r="AC92" s="72">
        <v>169554</v>
      </c>
      <c r="AD92" s="72">
        <v>159871</v>
      </c>
      <c r="AE92" s="61"/>
      <c r="AF92" s="71">
        <v>-2.3999999999999998E-3</v>
      </c>
      <c r="AG92" s="64"/>
      <c r="AH92" s="69">
        <v>44931</v>
      </c>
      <c r="AI92" s="72">
        <v>1962.3</v>
      </c>
      <c r="AJ92" s="72">
        <v>1991.34</v>
      </c>
      <c r="AK92" s="72">
        <v>2073.29</v>
      </c>
      <c r="AL92" s="72">
        <v>1932.08</v>
      </c>
      <c r="AM92" s="61"/>
      <c r="AN92" s="71">
        <v>-1.37E-2</v>
      </c>
      <c r="AY92" s="60">
        <v>45108</v>
      </c>
      <c r="AZ92" s="61">
        <v>2023</v>
      </c>
      <c r="BA92" s="61">
        <v>7</v>
      </c>
      <c r="BB92" s="62">
        <v>98.1</v>
      </c>
      <c r="BC92" s="61">
        <v>98</v>
      </c>
      <c r="BD92" s="61">
        <v>98.3</v>
      </c>
      <c r="BE92" s="62">
        <v>7.44</v>
      </c>
      <c r="BF92" s="62">
        <v>7.63</v>
      </c>
      <c r="BG92" s="62">
        <v>7.2</v>
      </c>
      <c r="BI92" s="3">
        <v>45108</v>
      </c>
      <c r="BJ92" s="4">
        <v>82.156499999999994</v>
      </c>
    </row>
    <row r="93" spans="1:62" x14ac:dyDescent="0.25">
      <c r="A93" s="65">
        <v>42506</v>
      </c>
      <c r="B93" s="66">
        <v>7860.75</v>
      </c>
      <c r="C93" s="66">
        <v>7831.2</v>
      </c>
      <c r="D93" s="66">
        <v>7873.9</v>
      </c>
      <c r="E93" s="66">
        <v>7772.15</v>
      </c>
      <c r="F93" s="67" t="s">
        <v>2593</v>
      </c>
      <c r="G93" s="68">
        <v>5.8999999999999999E-3</v>
      </c>
      <c r="H93" s="64"/>
      <c r="I93" s="69">
        <v>44932</v>
      </c>
      <c r="J93" s="70">
        <v>19189.05</v>
      </c>
      <c r="K93" s="70">
        <v>18579.400000000001</v>
      </c>
      <c r="L93" s="70">
        <v>19201.7</v>
      </c>
      <c r="M93" s="70">
        <v>18464.55</v>
      </c>
      <c r="N93" s="61" t="s">
        <v>2711</v>
      </c>
      <c r="O93" s="71">
        <v>3.5299999999999998E-2</v>
      </c>
      <c r="P93" s="64"/>
      <c r="Q93" s="69">
        <v>44932</v>
      </c>
      <c r="R93" s="70">
        <v>4450.38</v>
      </c>
      <c r="S93" s="70">
        <v>4183.03</v>
      </c>
      <c r="T93" s="70">
        <v>4458.4799999999996</v>
      </c>
      <c r="U93" s="70">
        <v>4171.6400000000003</v>
      </c>
      <c r="V93" s="61"/>
      <c r="W93" s="71">
        <v>6.4699999999999994E-2</v>
      </c>
      <c r="X93" s="64"/>
      <c r="Y93" s="64"/>
      <c r="Z93" s="69">
        <v>44932</v>
      </c>
      <c r="AA93" s="72">
        <v>157581</v>
      </c>
      <c r="AB93" s="72">
        <v>162256</v>
      </c>
      <c r="AC93" s="72">
        <v>163289</v>
      </c>
      <c r="AD93" s="72">
        <v>155404</v>
      </c>
      <c r="AE93" s="61"/>
      <c r="AF93" s="71">
        <v>-2.8299999999999999E-2</v>
      </c>
      <c r="AG93" s="64"/>
      <c r="AH93" s="69">
        <v>44932</v>
      </c>
      <c r="AI93" s="72">
        <v>1919.57</v>
      </c>
      <c r="AJ93" s="72">
        <v>1962.8</v>
      </c>
      <c r="AK93" s="72">
        <v>1983.52</v>
      </c>
      <c r="AL93" s="72">
        <v>1893.01</v>
      </c>
      <c r="AM93" s="61"/>
      <c r="AN93" s="71">
        <v>-2.18E-2</v>
      </c>
      <c r="AY93" s="60">
        <v>45139</v>
      </c>
      <c r="AZ93" s="61">
        <v>2023</v>
      </c>
      <c r="BA93" s="61">
        <v>8</v>
      </c>
      <c r="BB93" s="62">
        <v>98.1</v>
      </c>
      <c r="BC93" s="61">
        <v>98</v>
      </c>
      <c r="BD93" s="61">
        <v>98.2</v>
      </c>
      <c r="BE93" s="62">
        <v>6.83</v>
      </c>
      <c r="BF93" s="62">
        <v>7.02</v>
      </c>
      <c r="BG93" s="62">
        <v>6.59</v>
      </c>
      <c r="BI93" s="3">
        <v>45139</v>
      </c>
      <c r="BJ93" s="4">
        <v>82.812200000000004</v>
      </c>
    </row>
    <row r="94" spans="1:62" x14ac:dyDescent="0.25">
      <c r="A94" s="65">
        <v>42507</v>
      </c>
      <c r="B94" s="66">
        <v>7890.75</v>
      </c>
      <c r="C94" s="66">
        <v>7896.85</v>
      </c>
      <c r="D94" s="66">
        <v>7940.1</v>
      </c>
      <c r="E94" s="66">
        <v>7879.7</v>
      </c>
      <c r="F94" s="67" t="s">
        <v>2592</v>
      </c>
      <c r="G94" s="68">
        <v>3.8E-3</v>
      </c>
      <c r="H94" s="64"/>
      <c r="I94" s="69">
        <v>44933</v>
      </c>
      <c r="J94" s="70">
        <v>19753.8</v>
      </c>
      <c r="K94" s="70">
        <v>19246.5</v>
      </c>
      <c r="L94" s="70">
        <v>19991.849999999999</v>
      </c>
      <c r="M94" s="70">
        <v>19234.400000000001</v>
      </c>
      <c r="N94" s="61" t="s">
        <v>2710</v>
      </c>
      <c r="O94" s="71">
        <v>2.9399999999999999E-2</v>
      </c>
      <c r="P94" s="64"/>
      <c r="Q94" s="69">
        <v>44933</v>
      </c>
      <c r="R94" s="70">
        <v>4588.96</v>
      </c>
      <c r="S94" s="70">
        <v>4450.4799999999996</v>
      </c>
      <c r="T94" s="70">
        <v>4607.07</v>
      </c>
      <c r="U94" s="70">
        <v>4385.05</v>
      </c>
      <c r="V94" s="61"/>
      <c r="W94" s="71">
        <v>3.1099999999999999E-2</v>
      </c>
      <c r="X94" s="64"/>
      <c r="Y94" s="64"/>
      <c r="Z94" s="69">
        <v>44933</v>
      </c>
      <c r="AA94" s="72">
        <v>161568</v>
      </c>
      <c r="AB94" s="72">
        <v>157575</v>
      </c>
      <c r="AC94" s="72">
        <v>163051</v>
      </c>
      <c r="AD94" s="72">
        <v>156439</v>
      </c>
      <c r="AE94" s="61"/>
      <c r="AF94" s="71">
        <v>2.53E-2</v>
      </c>
      <c r="AG94" s="64"/>
      <c r="AH94" s="69">
        <v>44933</v>
      </c>
      <c r="AI94" s="72">
        <v>1964.19</v>
      </c>
      <c r="AJ94" s="72">
        <v>1919.4</v>
      </c>
      <c r="AK94" s="72">
        <v>1987.59</v>
      </c>
      <c r="AL94" s="72">
        <v>1902.68</v>
      </c>
      <c r="AM94" s="61"/>
      <c r="AN94" s="71">
        <v>2.3199999999999998E-2</v>
      </c>
      <c r="AY94" s="60">
        <v>45170</v>
      </c>
      <c r="AZ94" s="61">
        <v>2023</v>
      </c>
      <c r="BA94" s="61">
        <v>9</v>
      </c>
      <c r="BB94" s="62">
        <v>97</v>
      </c>
      <c r="BC94" s="61">
        <v>97</v>
      </c>
      <c r="BD94" s="61">
        <v>96.9</v>
      </c>
      <c r="BE94" s="62">
        <v>5.0199999999999996</v>
      </c>
      <c r="BF94" s="62">
        <v>5.33</v>
      </c>
      <c r="BG94" s="62">
        <v>4.6500000000000004</v>
      </c>
      <c r="BI94" s="3">
        <v>45170</v>
      </c>
      <c r="BJ94" s="4">
        <v>83.07</v>
      </c>
    </row>
    <row r="95" spans="1:62" x14ac:dyDescent="0.25">
      <c r="A95" s="65">
        <v>42508</v>
      </c>
      <c r="B95" s="66">
        <v>7870.15</v>
      </c>
      <c r="C95" s="66">
        <v>7846.75</v>
      </c>
      <c r="D95" s="66">
        <v>7882.05</v>
      </c>
      <c r="E95" s="66">
        <v>7810.75</v>
      </c>
      <c r="F95" s="67" t="s">
        <v>2591</v>
      </c>
      <c r="G95" s="68">
        <v>-2.5999999999999999E-3</v>
      </c>
      <c r="H95" s="64"/>
      <c r="I95" s="69">
        <v>44934</v>
      </c>
      <c r="J95" s="70">
        <v>19253.8</v>
      </c>
      <c r="K95" s="70">
        <v>19784</v>
      </c>
      <c r="L95" s="70">
        <v>19795.599999999999</v>
      </c>
      <c r="M95" s="70">
        <v>19223.650000000001</v>
      </c>
      <c r="N95" s="61" t="s">
        <v>2709</v>
      </c>
      <c r="O95" s="71">
        <v>-2.53E-2</v>
      </c>
      <c r="P95" s="64"/>
      <c r="Q95" s="69">
        <v>44934</v>
      </c>
      <c r="R95" s="70">
        <v>4507.66</v>
      </c>
      <c r="S95" s="70">
        <v>4578.83</v>
      </c>
      <c r="T95" s="70">
        <v>4584.62</v>
      </c>
      <c r="U95" s="70">
        <v>4335.3100000000004</v>
      </c>
      <c r="V95" s="61"/>
      <c r="W95" s="71">
        <v>-1.77E-2</v>
      </c>
      <c r="X95" s="64"/>
      <c r="Y95" s="64"/>
      <c r="Z95" s="69">
        <v>44934</v>
      </c>
      <c r="AA95" s="72">
        <v>160412</v>
      </c>
      <c r="AB95" s="72">
        <v>161617</v>
      </c>
      <c r="AC95" s="72">
        <v>161702</v>
      </c>
      <c r="AD95" s="72">
        <v>156658</v>
      </c>
      <c r="AE95" s="61"/>
      <c r="AF95" s="71">
        <v>-7.1999999999999998E-3</v>
      </c>
      <c r="AG95" s="64"/>
      <c r="AH95" s="69">
        <v>44934</v>
      </c>
      <c r="AI95" s="72">
        <v>1939.74</v>
      </c>
      <c r="AJ95" s="72">
        <v>1965.1</v>
      </c>
      <c r="AK95" s="72">
        <v>1966.24</v>
      </c>
      <c r="AL95" s="72">
        <v>1884.35</v>
      </c>
      <c r="AM95" s="61"/>
      <c r="AN95" s="71">
        <v>-1.24E-2</v>
      </c>
      <c r="AY95" s="60">
        <v>45200</v>
      </c>
      <c r="AZ95" s="61">
        <v>2023</v>
      </c>
      <c r="BA95" s="61">
        <v>10</v>
      </c>
      <c r="BB95" s="62">
        <v>97.6</v>
      </c>
      <c r="BC95" s="61">
        <v>97.7</v>
      </c>
      <c r="BD95" s="61">
        <v>97.6</v>
      </c>
      <c r="BE95" s="62">
        <v>4.87</v>
      </c>
      <c r="BF95" s="62">
        <v>5.12</v>
      </c>
      <c r="BG95" s="62">
        <v>4.62</v>
      </c>
      <c r="BI95" s="3">
        <v>45200</v>
      </c>
      <c r="BJ95" s="4">
        <v>83.216200000000001</v>
      </c>
    </row>
    <row r="96" spans="1:62" x14ac:dyDescent="0.25">
      <c r="A96" s="65">
        <v>42509</v>
      </c>
      <c r="B96" s="66">
        <v>7783.4</v>
      </c>
      <c r="C96" s="66">
        <v>7875.5</v>
      </c>
      <c r="D96" s="66">
        <v>7876.2</v>
      </c>
      <c r="E96" s="66">
        <v>7766.8</v>
      </c>
      <c r="F96" s="67" t="s">
        <v>2590</v>
      </c>
      <c r="G96" s="68">
        <v>-1.0999999999999999E-2</v>
      </c>
      <c r="H96" s="64"/>
      <c r="I96" s="69">
        <v>44935</v>
      </c>
      <c r="J96" s="70">
        <v>19638.3</v>
      </c>
      <c r="K96" s="70">
        <v>19258.150000000001</v>
      </c>
      <c r="L96" s="70">
        <v>20222.45</v>
      </c>
      <c r="M96" s="70">
        <v>19255.7</v>
      </c>
      <c r="N96" s="61" t="s">
        <v>2708</v>
      </c>
      <c r="O96" s="71">
        <v>0.02</v>
      </c>
      <c r="P96" s="64"/>
      <c r="Q96" s="69">
        <v>44935</v>
      </c>
      <c r="R96" s="70">
        <v>4288.05</v>
      </c>
      <c r="S96" s="70">
        <v>4530.6000000000004</v>
      </c>
      <c r="T96" s="70">
        <v>4541.25</v>
      </c>
      <c r="U96" s="70">
        <v>4238.63</v>
      </c>
      <c r="V96" s="61"/>
      <c r="W96" s="71">
        <v>-4.87E-2</v>
      </c>
      <c r="X96" s="64"/>
      <c r="Y96" s="64"/>
      <c r="Z96" s="69">
        <v>44935</v>
      </c>
      <c r="AA96" s="72">
        <v>153465</v>
      </c>
      <c r="AB96" s="72">
        <v>160430</v>
      </c>
      <c r="AC96" s="72">
        <v>161529</v>
      </c>
      <c r="AD96" s="72">
        <v>153311</v>
      </c>
      <c r="AE96" s="61"/>
      <c r="AF96" s="71">
        <v>-4.3299999999999998E-2</v>
      </c>
      <c r="AG96" s="64"/>
      <c r="AH96" s="69">
        <v>44935</v>
      </c>
      <c r="AI96" s="72">
        <v>1848.31</v>
      </c>
      <c r="AJ96" s="72">
        <v>1940.19</v>
      </c>
      <c r="AK96" s="72">
        <v>1953.44</v>
      </c>
      <c r="AL96" s="72">
        <v>1846.34</v>
      </c>
      <c r="AM96" s="61"/>
      <c r="AN96" s="71">
        <v>-4.7100000000000003E-2</v>
      </c>
      <c r="AY96" s="60">
        <v>45231</v>
      </c>
      <c r="AZ96" s="61">
        <v>2023</v>
      </c>
      <c r="BA96" s="61">
        <v>11</v>
      </c>
      <c r="BB96" s="62">
        <v>98.1</v>
      </c>
      <c r="BC96" s="61">
        <v>98.3</v>
      </c>
      <c r="BD96" s="61">
        <v>98</v>
      </c>
      <c r="BE96" s="62">
        <v>5.55</v>
      </c>
      <c r="BF96" s="62">
        <v>5.85</v>
      </c>
      <c r="BG96" s="62">
        <v>5.26</v>
      </c>
      <c r="BI96" s="3">
        <v>45231</v>
      </c>
      <c r="BJ96" s="4">
        <v>83.266000000000005</v>
      </c>
    </row>
    <row r="97" spans="1:62" x14ac:dyDescent="0.25">
      <c r="A97" s="65">
        <v>42510</v>
      </c>
      <c r="B97" s="66">
        <v>7749.7</v>
      </c>
      <c r="C97" s="66">
        <v>7792.2</v>
      </c>
      <c r="D97" s="66">
        <v>7812.4</v>
      </c>
      <c r="E97" s="66">
        <v>7735.75</v>
      </c>
      <c r="F97" s="67" t="s">
        <v>2589</v>
      </c>
      <c r="G97" s="68">
        <v>-4.3E-3</v>
      </c>
      <c r="H97" s="64"/>
      <c r="I97" s="69">
        <v>44936</v>
      </c>
      <c r="J97" s="70">
        <v>19079.599999999999</v>
      </c>
      <c r="K97" s="70">
        <v>19622.400000000001</v>
      </c>
      <c r="L97" s="70">
        <v>19849.75</v>
      </c>
      <c r="M97" s="70">
        <v>18837.849999999999</v>
      </c>
      <c r="N97" s="61" t="s">
        <v>2707</v>
      </c>
      <c r="O97" s="71">
        <v>-2.8400000000000002E-2</v>
      </c>
      <c r="P97" s="64"/>
      <c r="Q97" s="69">
        <v>44936</v>
      </c>
      <c r="R97" s="70">
        <v>4193.8</v>
      </c>
      <c r="S97" s="70">
        <v>4284.5200000000004</v>
      </c>
      <c r="T97" s="70">
        <v>4393.57</v>
      </c>
      <c r="U97" s="70">
        <v>4103.78</v>
      </c>
      <c r="V97" s="61"/>
      <c r="W97" s="71">
        <v>-2.1999999999999999E-2</v>
      </c>
      <c r="X97" s="64"/>
      <c r="Y97" s="64"/>
      <c r="Z97" s="69">
        <v>44936</v>
      </c>
      <c r="AA97" s="72">
        <v>165121</v>
      </c>
      <c r="AB97" s="72">
        <v>153459</v>
      </c>
      <c r="AC97" s="72">
        <v>167334</v>
      </c>
      <c r="AD97" s="72">
        <v>150700</v>
      </c>
      <c r="AE97" s="61"/>
      <c r="AF97" s="71">
        <v>7.5899999999999995E-2</v>
      </c>
      <c r="AG97" s="64"/>
      <c r="AH97" s="69">
        <v>44936</v>
      </c>
      <c r="AI97" s="72">
        <v>1982.7</v>
      </c>
      <c r="AJ97" s="72">
        <v>1848.13</v>
      </c>
      <c r="AK97" s="72">
        <v>2009.48</v>
      </c>
      <c r="AL97" s="72">
        <v>1810.1</v>
      </c>
      <c r="AM97" s="61"/>
      <c r="AN97" s="71">
        <v>7.2700000000000001E-2</v>
      </c>
      <c r="AY97" s="60">
        <v>45261</v>
      </c>
      <c r="AZ97" s="61">
        <v>2023</v>
      </c>
      <c r="BA97" s="61">
        <v>12</v>
      </c>
      <c r="BB97" s="62">
        <v>97.8</v>
      </c>
      <c r="BC97" s="61">
        <v>98</v>
      </c>
      <c r="BD97" s="61">
        <v>97.7</v>
      </c>
      <c r="BE97" s="62">
        <v>5.69</v>
      </c>
      <c r="BF97" s="62">
        <v>5.93</v>
      </c>
      <c r="BG97" s="62">
        <v>5.46</v>
      </c>
      <c r="BI97" s="3">
        <v>45261</v>
      </c>
      <c r="BJ97" s="4">
        <v>83.254000000000005</v>
      </c>
    </row>
    <row r="98" spans="1:62" x14ac:dyDescent="0.25">
      <c r="A98" s="65">
        <v>42513</v>
      </c>
      <c r="B98" s="66">
        <v>7731.05</v>
      </c>
      <c r="C98" s="66">
        <v>7813.95</v>
      </c>
      <c r="D98" s="66">
        <v>7820.6</v>
      </c>
      <c r="E98" s="66">
        <v>7722.2</v>
      </c>
      <c r="F98" s="67" t="s">
        <v>2588</v>
      </c>
      <c r="G98" s="68">
        <v>-2.3999999999999998E-3</v>
      </c>
      <c r="H98" s="64"/>
      <c r="I98" s="69">
        <v>44937</v>
      </c>
      <c r="J98" s="70">
        <v>20133.150000000001</v>
      </c>
      <c r="K98" s="70">
        <v>19064.05</v>
      </c>
      <c r="L98" s="70">
        <v>20158.7</v>
      </c>
      <c r="M98" s="70">
        <v>18973.7</v>
      </c>
      <c r="N98" s="61" t="s">
        <v>2706</v>
      </c>
      <c r="O98" s="71">
        <v>5.5199999999999999E-2</v>
      </c>
      <c r="P98" s="64"/>
      <c r="Q98" s="69">
        <v>44937</v>
      </c>
      <c r="R98" s="70">
        <v>4567.8</v>
      </c>
      <c r="S98" s="70">
        <v>4201.2700000000004</v>
      </c>
      <c r="T98" s="70">
        <v>4587.6400000000003</v>
      </c>
      <c r="U98" s="70">
        <v>4197.74</v>
      </c>
      <c r="V98" s="61"/>
      <c r="W98" s="71">
        <v>8.9200000000000002E-2</v>
      </c>
      <c r="X98" s="64"/>
      <c r="Y98" s="64"/>
      <c r="Z98" s="69">
        <v>44937</v>
      </c>
      <c r="AA98" s="72">
        <v>169740</v>
      </c>
      <c r="AB98" s="72">
        <v>165232</v>
      </c>
      <c r="AC98" s="72">
        <v>171032</v>
      </c>
      <c r="AD98" s="72">
        <v>160837</v>
      </c>
      <c r="AE98" s="61"/>
      <c r="AF98" s="71">
        <v>2.8000000000000001E-2</v>
      </c>
      <c r="AG98" s="64"/>
      <c r="AH98" s="69">
        <v>44937</v>
      </c>
      <c r="AI98" s="72">
        <v>2035.75</v>
      </c>
      <c r="AJ98" s="72">
        <v>1983.01</v>
      </c>
      <c r="AK98" s="72">
        <v>2052.09</v>
      </c>
      <c r="AL98" s="72">
        <v>1931.73</v>
      </c>
      <c r="AM98" s="61"/>
      <c r="AN98" s="71">
        <v>2.6800000000000001E-2</v>
      </c>
      <c r="AY98" s="60">
        <v>45292</v>
      </c>
      <c r="AZ98" s="61">
        <v>2024</v>
      </c>
      <c r="BA98" s="61">
        <v>1</v>
      </c>
      <c r="BB98" s="62">
        <v>97.7</v>
      </c>
      <c r="BC98" s="61">
        <v>97.8</v>
      </c>
      <c r="BD98" s="61">
        <v>97.6</v>
      </c>
      <c r="BE98" s="62">
        <v>5.0999999999999996</v>
      </c>
      <c r="BF98" s="62">
        <v>5.34</v>
      </c>
      <c r="BG98" s="62">
        <v>4.92</v>
      </c>
      <c r="BI98" s="3">
        <v>45292</v>
      </c>
      <c r="BJ98" s="4">
        <v>83.111900000000006</v>
      </c>
    </row>
    <row r="99" spans="1:62" x14ac:dyDescent="0.25">
      <c r="A99" s="65">
        <v>42514</v>
      </c>
      <c r="B99" s="66">
        <v>7748.85</v>
      </c>
      <c r="C99" s="66">
        <v>7738.05</v>
      </c>
      <c r="D99" s="66">
        <v>7761.55</v>
      </c>
      <c r="E99" s="66">
        <v>7715.8</v>
      </c>
      <c r="F99" s="67" t="s">
        <v>2587</v>
      </c>
      <c r="G99" s="68">
        <v>2.3E-3</v>
      </c>
      <c r="H99" s="64"/>
      <c r="I99" s="69">
        <v>44938</v>
      </c>
      <c r="J99" s="70">
        <v>21731.4</v>
      </c>
      <c r="K99" s="70">
        <v>20194.099999999999</v>
      </c>
      <c r="L99" s="70">
        <v>21801.45</v>
      </c>
      <c r="M99" s="70">
        <v>20183.7</v>
      </c>
      <c r="N99" s="61" t="s">
        <v>2705</v>
      </c>
      <c r="O99" s="71">
        <v>7.9399999999999998E-2</v>
      </c>
      <c r="P99" s="64"/>
      <c r="Q99" s="69">
        <v>44938</v>
      </c>
      <c r="R99" s="70">
        <v>4769.83</v>
      </c>
      <c r="S99" s="70">
        <v>4559.43</v>
      </c>
      <c r="T99" s="70">
        <v>4793.3</v>
      </c>
      <c r="U99" s="70">
        <v>4546.5</v>
      </c>
      <c r="V99" s="61"/>
      <c r="W99" s="71">
        <v>4.4200000000000003E-2</v>
      </c>
      <c r="X99" s="64"/>
      <c r="Y99" s="64"/>
      <c r="Z99" s="69">
        <v>44938</v>
      </c>
      <c r="AA99" s="72">
        <v>171587</v>
      </c>
      <c r="AB99" s="72">
        <v>169812</v>
      </c>
      <c r="AC99" s="72">
        <v>175847</v>
      </c>
      <c r="AD99" s="72">
        <v>164534</v>
      </c>
      <c r="AE99" s="61"/>
      <c r="AF99" s="71">
        <v>1.09E-2</v>
      </c>
      <c r="AG99" s="64"/>
      <c r="AH99" s="69">
        <v>44938</v>
      </c>
      <c r="AI99" s="72">
        <v>2062.59</v>
      </c>
      <c r="AJ99" s="72">
        <v>2034.49</v>
      </c>
      <c r="AK99" s="72">
        <v>2135.9</v>
      </c>
      <c r="AL99" s="72">
        <v>1973.09</v>
      </c>
      <c r="AM99" s="61"/>
      <c r="AN99" s="71">
        <v>1.32E-2</v>
      </c>
      <c r="AY99" s="60">
        <v>45323</v>
      </c>
      <c r="AZ99" s="61">
        <v>2024</v>
      </c>
      <c r="BA99" s="61">
        <v>2</v>
      </c>
      <c r="BB99" s="62">
        <v>97.9</v>
      </c>
      <c r="BC99" s="61">
        <v>97.9</v>
      </c>
      <c r="BD99" s="61">
        <v>97.9</v>
      </c>
      <c r="BE99" s="62">
        <v>5.09</v>
      </c>
      <c r="BF99" s="62">
        <v>5.34</v>
      </c>
      <c r="BG99" s="62">
        <v>4.78</v>
      </c>
      <c r="BI99" s="3">
        <v>45323</v>
      </c>
      <c r="BJ99" s="4">
        <v>82.948499999999996</v>
      </c>
    </row>
    <row r="100" spans="1:62" x14ac:dyDescent="0.25">
      <c r="A100" s="65">
        <v>42515</v>
      </c>
      <c r="B100" s="66">
        <v>7934.9</v>
      </c>
      <c r="C100" s="66">
        <v>7811.8</v>
      </c>
      <c r="D100" s="66">
        <v>7941.2</v>
      </c>
      <c r="E100" s="66">
        <v>7809.3</v>
      </c>
      <c r="F100" s="67" t="s">
        <v>2586</v>
      </c>
      <c r="G100" s="68">
        <v>2.4E-2</v>
      </c>
      <c r="H100" s="64"/>
      <c r="I100" s="69">
        <v>45292</v>
      </c>
      <c r="J100" s="70">
        <v>21725.7</v>
      </c>
      <c r="K100" s="70">
        <v>21727.75</v>
      </c>
      <c r="L100" s="70">
        <v>22124.15</v>
      </c>
      <c r="M100" s="70">
        <v>21137.200000000001</v>
      </c>
      <c r="N100" s="61" t="s">
        <v>2704</v>
      </c>
      <c r="O100" s="71">
        <v>-2.9999999999999997E-4</v>
      </c>
      <c r="P100" s="64"/>
      <c r="Q100" s="69">
        <v>45292</v>
      </c>
      <c r="R100" s="70">
        <v>4845.6499999999996</v>
      </c>
      <c r="S100" s="70">
        <v>4745.2</v>
      </c>
      <c r="T100" s="70">
        <v>4931.09</v>
      </c>
      <c r="U100" s="70">
        <v>4682.1099999999997</v>
      </c>
      <c r="V100" s="61"/>
      <c r="W100" s="71">
        <v>1.5900000000000001E-2</v>
      </c>
      <c r="X100" s="64"/>
      <c r="Y100" s="64"/>
      <c r="Z100" s="69">
        <v>45292</v>
      </c>
      <c r="AA100" s="72">
        <v>169443</v>
      </c>
      <c r="AB100" s="72">
        <v>171703</v>
      </c>
      <c r="AC100" s="72">
        <v>173233</v>
      </c>
      <c r="AD100" s="72">
        <v>166489</v>
      </c>
      <c r="AE100" s="61"/>
      <c r="AF100" s="71">
        <v>-1.2500000000000001E-2</v>
      </c>
      <c r="AG100" s="64"/>
      <c r="AH100" s="69">
        <v>45292</v>
      </c>
      <c r="AI100" s="72">
        <v>2037.19</v>
      </c>
      <c r="AJ100" s="72">
        <v>2062.9</v>
      </c>
      <c r="AK100" s="72">
        <v>2079.02</v>
      </c>
      <c r="AL100" s="72">
        <v>2001.91</v>
      </c>
      <c r="AM100" s="61"/>
      <c r="AN100" s="71">
        <v>-1.23E-2</v>
      </c>
      <c r="AY100" s="60">
        <v>45352</v>
      </c>
      <c r="AZ100" s="61">
        <v>2024</v>
      </c>
      <c r="BA100" s="61">
        <v>3</v>
      </c>
      <c r="BB100" s="62">
        <v>97.9</v>
      </c>
      <c r="BC100" s="61">
        <v>98.1</v>
      </c>
      <c r="BD100" s="61">
        <v>97.7</v>
      </c>
      <c r="BE100" s="62">
        <v>4.8499999999999996</v>
      </c>
      <c r="BF100" s="62">
        <v>5.51</v>
      </c>
      <c r="BG100" s="62">
        <v>4.1399999999999997</v>
      </c>
      <c r="BI100" s="3">
        <v>45352</v>
      </c>
      <c r="BJ100" s="4">
        <v>83.0214</v>
      </c>
    </row>
    <row r="101" spans="1:62" x14ac:dyDescent="0.25">
      <c r="A101" s="65">
        <v>42516</v>
      </c>
      <c r="B101" s="66">
        <v>8069.65</v>
      </c>
      <c r="C101" s="66">
        <v>7974.45</v>
      </c>
      <c r="D101" s="66">
        <v>8083</v>
      </c>
      <c r="E101" s="66">
        <v>7948.5</v>
      </c>
      <c r="F101" s="67" t="s">
        <v>2585</v>
      </c>
      <c r="G101" s="68">
        <v>1.7000000000000001E-2</v>
      </c>
      <c r="H101" s="64"/>
      <c r="I101" s="69">
        <v>45293</v>
      </c>
      <c r="J101" s="70">
        <v>21982.799999999999</v>
      </c>
      <c r="K101" s="70">
        <v>21780.65</v>
      </c>
      <c r="L101" s="70">
        <v>22297.5</v>
      </c>
      <c r="M101" s="70">
        <v>21530.2</v>
      </c>
      <c r="N101" s="61" t="s">
        <v>2703</v>
      </c>
      <c r="O101" s="71">
        <v>1.18E-2</v>
      </c>
      <c r="P101" s="64"/>
      <c r="Q101" s="69">
        <v>45293</v>
      </c>
      <c r="R101" s="70">
        <v>5096.2700000000004</v>
      </c>
      <c r="S101" s="70">
        <v>4861.1099999999997</v>
      </c>
      <c r="T101" s="70">
        <v>5111.0600000000004</v>
      </c>
      <c r="U101" s="70">
        <v>4853.5200000000004</v>
      </c>
      <c r="V101" s="61"/>
      <c r="W101" s="71">
        <v>5.1700000000000003E-2</v>
      </c>
      <c r="X101" s="64"/>
      <c r="Y101" s="64"/>
      <c r="Z101" s="69">
        <v>45293</v>
      </c>
      <c r="AA101" s="72">
        <v>169428</v>
      </c>
      <c r="AB101" s="72">
        <v>169538</v>
      </c>
      <c r="AC101" s="72">
        <v>171362</v>
      </c>
      <c r="AD101" s="72">
        <v>164782</v>
      </c>
      <c r="AE101" s="61"/>
      <c r="AF101" s="71">
        <v>-1E-4</v>
      </c>
      <c r="AG101" s="64"/>
      <c r="AH101" s="69">
        <v>45293</v>
      </c>
      <c r="AI101" s="72">
        <v>2043.24</v>
      </c>
      <c r="AJ101" s="72">
        <v>2037.59</v>
      </c>
      <c r="AK101" s="72">
        <v>2065.42</v>
      </c>
      <c r="AL101" s="72">
        <v>1984.3</v>
      </c>
      <c r="AM101" s="61"/>
      <c r="AN101" s="71">
        <v>3.0000000000000001E-3</v>
      </c>
      <c r="AY101" s="60">
        <v>45383</v>
      </c>
      <c r="AZ101" s="61">
        <v>2024</v>
      </c>
      <c r="BA101" s="61">
        <v>4</v>
      </c>
      <c r="BB101" s="62">
        <v>98.3</v>
      </c>
      <c r="BC101" s="61">
        <v>98.4</v>
      </c>
      <c r="BD101" s="61">
        <v>98.3</v>
      </c>
      <c r="BE101" s="62">
        <v>4.83</v>
      </c>
      <c r="BF101" s="62">
        <v>5.43</v>
      </c>
      <c r="BG101" s="62">
        <v>4.1100000000000003</v>
      </c>
      <c r="BI101" s="3">
        <v>45383</v>
      </c>
      <c r="BJ101" s="4">
        <v>83.396799999999999</v>
      </c>
    </row>
    <row r="102" spans="1:62" x14ac:dyDescent="0.25">
      <c r="A102" s="65">
        <v>42517</v>
      </c>
      <c r="B102" s="66">
        <v>8156.65</v>
      </c>
      <c r="C102" s="66">
        <v>8081.95</v>
      </c>
      <c r="D102" s="66">
        <v>8164.2</v>
      </c>
      <c r="E102" s="66">
        <v>8077.05</v>
      </c>
      <c r="F102" s="67" t="s">
        <v>2584</v>
      </c>
      <c r="G102" s="68">
        <v>1.0800000000000001E-2</v>
      </c>
      <c r="H102" s="64"/>
      <c r="I102" s="69">
        <v>45294</v>
      </c>
      <c r="J102" s="70">
        <v>22326.9</v>
      </c>
      <c r="K102" s="70">
        <v>22048.3</v>
      </c>
      <c r="L102" s="70">
        <v>22526.6</v>
      </c>
      <c r="M102" s="70">
        <v>21710.2</v>
      </c>
      <c r="N102" s="61" t="s">
        <v>2702</v>
      </c>
      <c r="O102" s="71">
        <v>1.5699999999999999E-2</v>
      </c>
      <c r="P102" s="64"/>
      <c r="Q102" s="69">
        <v>45294</v>
      </c>
      <c r="R102" s="70">
        <v>5254.35</v>
      </c>
      <c r="S102" s="70">
        <v>5098.51</v>
      </c>
      <c r="T102" s="70">
        <v>5264.85</v>
      </c>
      <c r="U102" s="70">
        <v>5056.82</v>
      </c>
      <c r="V102" s="61"/>
      <c r="W102" s="71">
        <v>3.1E-2</v>
      </c>
      <c r="X102" s="64"/>
      <c r="Y102" s="64"/>
      <c r="Z102" s="69">
        <v>45294</v>
      </c>
      <c r="AA102" s="72">
        <v>186069</v>
      </c>
      <c r="AB102" s="72">
        <v>169480</v>
      </c>
      <c r="AC102" s="72">
        <v>186428</v>
      </c>
      <c r="AD102" s="72">
        <v>168965</v>
      </c>
      <c r="AE102" s="61"/>
      <c r="AF102" s="71">
        <v>9.8199999999999996E-2</v>
      </c>
      <c r="AG102" s="64"/>
      <c r="AH102" s="69">
        <v>45294</v>
      </c>
      <c r="AI102" s="72">
        <v>2232.38</v>
      </c>
      <c r="AJ102" s="72">
        <v>2043.44</v>
      </c>
      <c r="AK102" s="72">
        <v>2235.9</v>
      </c>
      <c r="AL102" s="72">
        <v>2038.55</v>
      </c>
      <c r="AM102" s="61"/>
      <c r="AN102" s="71">
        <v>9.2600000000000002E-2</v>
      </c>
      <c r="AY102" s="60">
        <v>45413</v>
      </c>
      <c r="AZ102" s="61">
        <v>2024</v>
      </c>
      <c r="BA102" s="61">
        <v>5</v>
      </c>
      <c r="BB102" s="62">
        <v>98.9</v>
      </c>
      <c r="BC102" s="61">
        <v>98.9</v>
      </c>
      <c r="BD102" s="61">
        <v>98.8</v>
      </c>
      <c r="BE102" s="62">
        <v>4.8</v>
      </c>
      <c r="BF102" s="62">
        <v>5.34</v>
      </c>
      <c r="BG102" s="62">
        <v>4.21</v>
      </c>
      <c r="BI102" s="3">
        <v>45413</v>
      </c>
      <c r="BJ102" s="4">
        <v>83.387299999999996</v>
      </c>
    </row>
    <row r="103" spans="1:62" x14ac:dyDescent="0.25">
      <c r="A103" s="65">
        <v>42520</v>
      </c>
      <c r="B103" s="66">
        <v>8178.5</v>
      </c>
      <c r="C103" s="66">
        <v>8166.5</v>
      </c>
      <c r="D103" s="66">
        <v>8200</v>
      </c>
      <c r="E103" s="66">
        <v>8150.8</v>
      </c>
      <c r="F103" s="67" t="s">
        <v>2583</v>
      </c>
      <c r="G103" s="68">
        <v>2.7000000000000001E-3</v>
      </c>
      <c r="H103" s="64"/>
      <c r="I103" s="69">
        <v>45295</v>
      </c>
      <c r="J103" s="70">
        <v>22604.85</v>
      </c>
      <c r="K103" s="70">
        <v>22455</v>
      </c>
      <c r="L103" s="70">
        <v>22783.35</v>
      </c>
      <c r="M103" s="70">
        <v>21777.65</v>
      </c>
      <c r="N103" s="61" t="s">
        <v>2689</v>
      </c>
      <c r="O103" s="71">
        <v>1.24E-2</v>
      </c>
      <c r="P103" s="64"/>
      <c r="Q103" s="69">
        <v>45295</v>
      </c>
      <c r="R103" s="70">
        <v>5035.6899999999996</v>
      </c>
      <c r="S103" s="70">
        <v>5257.97</v>
      </c>
      <c r="T103" s="70">
        <v>5263.95</v>
      </c>
      <c r="U103" s="70">
        <v>4953.5600000000004</v>
      </c>
      <c r="V103" s="61"/>
      <c r="W103" s="71">
        <v>-4.1599999999999998E-2</v>
      </c>
      <c r="X103" s="64"/>
      <c r="Y103" s="64"/>
      <c r="Z103" s="69">
        <v>45295</v>
      </c>
      <c r="AA103" s="72">
        <v>190744</v>
      </c>
      <c r="AB103" s="72">
        <v>186733</v>
      </c>
      <c r="AC103" s="72">
        <v>203243</v>
      </c>
      <c r="AD103" s="72">
        <v>185833</v>
      </c>
      <c r="AE103" s="61"/>
      <c r="AF103" s="71">
        <v>2.5100000000000001E-2</v>
      </c>
      <c r="AG103" s="64"/>
      <c r="AH103" s="69">
        <v>45295</v>
      </c>
      <c r="AI103" s="72">
        <v>2285.5700000000002</v>
      </c>
      <c r="AJ103" s="72">
        <v>2239.59</v>
      </c>
      <c r="AK103" s="72">
        <v>2431.5300000000002</v>
      </c>
      <c r="AL103" s="72">
        <v>2228.54</v>
      </c>
      <c r="AM103" s="61"/>
      <c r="AN103" s="71">
        <v>2.3800000000000002E-2</v>
      </c>
      <c r="AY103" s="60">
        <v>45444</v>
      </c>
      <c r="AZ103" s="61">
        <v>2024</v>
      </c>
      <c r="BA103" s="61">
        <v>6</v>
      </c>
      <c r="BB103" s="62">
        <v>100.2</v>
      </c>
      <c r="BC103" s="61">
        <v>100.4</v>
      </c>
      <c r="BD103" s="61">
        <v>99.9</v>
      </c>
      <c r="BE103" s="62">
        <v>5.08</v>
      </c>
      <c r="BF103" s="62">
        <v>5.66</v>
      </c>
      <c r="BG103" s="62">
        <v>4.3899999999999997</v>
      </c>
      <c r="BI103" s="3">
        <v>45444</v>
      </c>
      <c r="BJ103" s="4">
        <v>83.46</v>
      </c>
    </row>
    <row r="104" spans="1:62" x14ac:dyDescent="0.25">
      <c r="A104" s="65">
        <v>42521</v>
      </c>
      <c r="B104" s="66">
        <v>8160.1</v>
      </c>
      <c r="C104" s="66">
        <v>8209.85</v>
      </c>
      <c r="D104" s="66">
        <v>8213.6</v>
      </c>
      <c r="E104" s="66">
        <v>8134.3</v>
      </c>
      <c r="F104" s="67" t="s">
        <v>2582</v>
      </c>
      <c r="G104" s="68">
        <v>-2.2000000000000001E-3</v>
      </c>
      <c r="H104" s="64"/>
      <c r="I104" s="69">
        <v>45296</v>
      </c>
      <c r="J104" s="70">
        <v>22530.7</v>
      </c>
      <c r="K104" s="70">
        <v>22567.85</v>
      </c>
      <c r="L104" s="70">
        <v>23110.799999999999</v>
      </c>
      <c r="M104" s="70">
        <v>21821.05</v>
      </c>
      <c r="N104" s="61" t="s">
        <v>2701</v>
      </c>
      <c r="O104" s="71">
        <v>-3.3E-3</v>
      </c>
      <c r="P104" s="64"/>
      <c r="Q104" s="69">
        <v>45296</v>
      </c>
      <c r="R104" s="70">
        <v>5277.51</v>
      </c>
      <c r="S104" s="70">
        <v>5029.03</v>
      </c>
      <c r="T104" s="70">
        <v>5341.88</v>
      </c>
      <c r="U104" s="70">
        <v>5011.05</v>
      </c>
      <c r="V104" s="61"/>
      <c r="W104" s="71">
        <v>4.8000000000000001E-2</v>
      </c>
      <c r="X104" s="64"/>
      <c r="Y104" s="64"/>
      <c r="Z104" s="69">
        <v>45296</v>
      </c>
      <c r="AA104" s="72">
        <v>194119</v>
      </c>
      <c r="AB104" s="72">
        <v>190804</v>
      </c>
      <c r="AC104" s="72">
        <v>204021</v>
      </c>
      <c r="AD104" s="72">
        <v>189972</v>
      </c>
      <c r="AE104" s="61"/>
      <c r="AF104" s="71">
        <v>1.77E-2</v>
      </c>
      <c r="AG104" s="64"/>
      <c r="AH104" s="69">
        <v>45296</v>
      </c>
      <c r="AI104" s="72">
        <v>2326.9699999999998</v>
      </c>
      <c r="AJ104" s="72">
        <v>2285.91</v>
      </c>
      <c r="AK104" s="72">
        <v>2450.13</v>
      </c>
      <c r="AL104" s="72">
        <v>2277.4699999999998</v>
      </c>
      <c r="AM104" s="61"/>
      <c r="AN104" s="71">
        <v>1.8100000000000002E-2</v>
      </c>
      <c r="AY104" s="60">
        <v>45474</v>
      </c>
      <c r="AZ104" s="61">
        <v>2024</v>
      </c>
      <c r="BA104" s="61">
        <v>7</v>
      </c>
      <c r="BB104" s="62">
        <v>101.7</v>
      </c>
      <c r="BC104" s="61">
        <v>102</v>
      </c>
      <c r="BD104" s="61">
        <v>101.2</v>
      </c>
      <c r="BE104" s="62">
        <v>3.6</v>
      </c>
      <c r="BF104" s="62">
        <v>4.0999999999999996</v>
      </c>
      <c r="BG104" s="62">
        <v>3.03</v>
      </c>
      <c r="BI104" s="3">
        <v>45474</v>
      </c>
      <c r="BJ104" s="4">
        <v>83.589500000000001</v>
      </c>
    </row>
    <row r="105" spans="1:62" x14ac:dyDescent="0.25">
      <c r="A105" s="65">
        <v>42522</v>
      </c>
      <c r="B105" s="66">
        <v>8179.95</v>
      </c>
      <c r="C105" s="66">
        <v>8179.2</v>
      </c>
      <c r="D105" s="66">
        <v>8215.35</v>
      </c>
      <c r="E105" s="66">
        <v>8171.05</v>
      </c>
      <c r="F105" s="67" t="s">
        <v>2581</v>
      </c>
      <c r="G105" s="68">
        <v>2.3999999999999998E-3</v>
      </c>
      <c r="H105" s="64"/>
      <c r="I105" s="69">
        <v>45297</v>
      </c>
      <c r="J105" s="70">
        <v>24010.6</v>
      </c>
      <c r="K105" s="70">
        <v>23337.9</v>
      </c>
      <c r="L105" s="70">
        <v>24174</v>
      </c>
      <c r="M105" s="70">
        <v>21281.45</v>
      </c>
      <c r="N105" s="61" t="s">
        <v>2700</v>
      </c>
      <c r="O105" s="71">
        <v>6.5699999999999995E-2</v>
      </c>
      <c r="P105" s="64"/>
      <c r="Q105" s="69">
        <v>45297</v>
      </c>
      <c r="R105" s="70">
        <v>5460.48</v>
      </c>
      <c r="S105" s="70">
        <v>5297.15</v>
      </c>
      <c r="T105" s="70">
        <v>5523.64</v>
      </c>
      <c r="U105" s="70">
        <v>5234.32</v>
      </c>
      <c r="V105" s="61"/>
      <c r="W105" s="71">
        <v>3.4700000000000002E-2</v>
      </c>
      <c r="X105" s="64"/>
      <c r="Y105" s="64"/>
      <c r="Z105" s="69">
        <v>45297</v>
      </c>
      <c r="AA105" s="72">
        <v>193935</v>
      </c>
      <c r="AB105" s="72">
        <v>194097</v>
      </c>
      <c r="AC105" s="72">
        <v>199284</v>
      </c>
      <c r="AD105" s="72">
        <v>190922</v>
      </c>
      <c r="AE105" s="61"/>
      <c r="AF105" s="71">
        <v>-8.9999999999999998E-4</v>
      </c>
      <c r="AG105" s="64"/>
      <c r="AH105" s="69">
        <v>45297</v>
      </c>
      <c r="AI105" s="72">
        <v>2325.71</v>
      </c>
      <c r="AJ105" s="72">
        <v>2329.61</v>
      </c>
      <c r="AK105" s="72">
        <v>2387.85</v>
      </c>
      <c r="AL105" s="72">
        <v>2286.77</v>
      </c>
      <c r="AM105" s="61"/>
      <c r="AN105" s="71">
        <v>-5.0000000000000001E-4</v>
      </c>
      <c r="AY105" s="60">
        <v>45505</v>
      </c>
      <c r="AZ105" s="61">
        <v>2024</v>
      </c>
      <c r="BA105" s="61">
        <v>8</v>
      </c>
      <c r="BB105" s="62">
        <v>101.7</v>
      </c>
      <c r="BC105" s="61">
        <v>102</v>
      </c>
      <c r="BD105" s="61">
        <v>101.2</v>
      </c>
      <c r="BE105" s="62">
        <v>3.65</v>
      </c>
      <c r="BF105" s="62">
        <v>4.16</v>
      </c>
      <c r="BG105" s="62">
        <v>3.14</v>
      </c>
      <c r="BI105" s="3">
        <v>45505</v>
      </c>
      <c r="BJ105" s="4">
        <v>83.885499999999993</v>
      </c>
    </row>
    <row r="106" spans="1:62" x14ac:dyDescent="0.25">
      <c r="A106" s="65">
        <v>42523</v>
      </c>
      <c r="B106" s="66">
        <v>8218.9500000000007</v>
      </c>
      <c r="C106" s="66">
        <v>8156.9</v>
      </c>
      <c r="D106" s="66">
        <v>8229.5</v>
      </c>
      <c r="E106" s="66">
        <v>8154.75</v>
      </c>
      <c r="F106" s="67" t="s">
        <v>2580</v>
      </c>
      <c r="G106" s="68">
        <v>4.7999999999999996E-3</v>
      </c>
      <c r="H106" s="64"/>
      <c r="I106" s="69">
        <v>45298</v>
      </c>
      <c r="J106" s="70">
        <v>24951.15</v>
      </c>
      <c r="K106" s="70">
        <v>23992.95</v>
      </c>
      <c r="L106" s="70">
        <v>24999.75</v>
      </c>
      <c r="M106" s="70">
        <v>23992.7</v>
      </c>
      <c r="N106" s="61" t="s">
        <v>2699</v>
      </c>
      <c r="O106" s="71">
        <v>3.9199999999999999E-2</v>
      </c>
      <c r="P106" s="64"/>
      <c r="Q106" s="69">
        <v>45298</v>
      </c>
      <c r="R106" s="70">
        <v>5522.3</v>
      </c>
      <c r="S106" s="70">
        <v>5471.08</v>
      </c>
      <c r="T106" s="70">
        <v>5669.67</v>
      </c>
      <c r="U106" s="70">
        <v>5390.95</v>
      </c>
      <c r="V106" s="61"/>
      <c r="W106" s="71">
        <v>1.1299999999999999E-2</v>
      </c>
      <c r="X106" s="64"/>
      <c r="Y106" s="64"/>
      <c r="Z106" s="69">
        <v>45298</v>
      </c>
      <c r="AA106" s="72">
        <v>204775</v>
      </c>
      <c r="AB106" s="72">
        <v>193934</v>
      </c>
      <c r="AC106" s="72">
        <v>207499</v>
      </c>
      <c r="AD106" s="72">
        <v>193423</v>
      </c>
      <c r="AE106" s="61"/>
      <c r="AF106" s="71">
        <v>5.5899999999999998E-2</v>
      </c>
      <c r="AG106" s="64"/>
      <c r="AH106" s="69">
        <v>45298</v>
      </c>
      <c r="AI106" s="72">
        <v>2448.1</v>
      </c>
      <c r="AJ106" s="72">
        <v>2326.46</v>
      </c>
      <c r="AK106" s="72">
        <v>2483.7800000000002</v>
      </c>
      <c r="AL106" s="72">
        <v>2318.5500000000002</v>
      </c>
      <c r="AM106" s="61"/>
      <c r="AN106" s="71">
        <v>5.2600000000000001E-2</v>
      </c>
      <c r="AY106" s="60">
        <v>45536</v>
      </c>
      <c r="AZ106" s="61">
        <v>2024</v>
      </c>
      <c r="BA106" s="61">
        <v>9</v>
      </c>
      <c r="BB106" s="62">
        <v>102.3</v>
      </c>
      <c r="BC106" s="61">
        <v>102.7</v>
      </c>
      <c r="BD106" s="61">
        <v>101.8</v>
      </c>
      <c r="BE106" s="62">
        <v>5.49</v>
      </c>
      <c r="BF106" s="62">
        <v>5.87</v>
      </c>
      <c r="BG106" s="62">
        <v>5.05</v>
      </c>
      <c r="BI106" s="3">
        <v>45536</v>
      </c>
      <c r="BJ106" s="4">
        <v>83.790999999999997</v>
      </c>
    </row>
    <row r="107" spans="1:62" x14ac:dyDescent="0.25">
      <c r="A107" s="65">
        <v>42524</v>
      </c>
      <c r="B107" s="66">
        <v>8220.7999999999993</v>
      </c>
      <c r="C107" s="66">
        <v>8246.2000000000007</v>
      </c>
      <c r="D107" s="66">
        <v>8262</v>
      </c>
      <c r="E107" s="66">
        <v>8209.85</v>
      </c>
      <c r="F107" s="67" t="s">
        <v>2579</v>
      </c>
      <c r="G107" s="68">
        <v>2.0000000000000001E-4</v>
      </c>
      <c r="H107" s="64"/>
      <c r="I107" s="69">
        <v>45299</v>
      </c>
      <c r="J107" s="70">
        <v>25235.9</v>
      </c>
      <c r="K107" s="70">
        <v>25030.95</v>
      </c>
      <c r="L107" s="70">
        <v>25268.35</v>
      </c>
      <c r="M107" s="70">
        <v>23893.7</v>
      </c>
      <c r="N107" s="61" t="s">
        <v>2697</v>
      </c>
      <c r="O107" s="71">
        <v>1.14E-2</v>
      </c>
      <c r="P107" s="64"/>
      <c r="Q107" s="69">
        <v>45299</v>
      </c>
      <c r="R107" s="70">
        <v>5648.4</v>
      </c>
      <c r="S107" s="70">
        <v>5537.84</v>
      </c>
      <c r="T107" s="70">
        <v>5651.62</v>
      </c>
      <c r="U107" s="70">
        <v>5119.26</v>
      </c>
      <c r="V107" s="61"/>
      <c r="W107" s="71">
        <v>2.2800000000000001E-2</v>
      </c>
      <c r="X107" s="64"/>
      <c r="Y107" s="64"/>
      <c r="Z107" s="69">
        <v>45299</v>
      </c>
      <c r="AA107" s="72">
        <v>209922</v>
      </c>
      <c r="AB107" s="72">
        <v>204870</v>
      </c>
      <c r="AC107" s="72">
        <v>212249</v>
      </c>
      <c r="AD107" s="72">
        <v>198953</v>
      </c>
      <c r="AE107" s="61"/>
      <c r="AF107" s="71">
        <v>2.5100000000000001E-2</v>
      </c>
      <c r="AG107" s="64"/>
      <c r="AH107" s="69">
        <v>45299</v>
      </c>
      <c r="AI107" s="72">
        <v>2503.0300000000002</v>
      </c>
      <c r="AJ107" s="72">
        <v>2448.1</v>
      </c>
      <c r="AK107" s="72">
        <v>2532.0500000000002</v>
      </c>
      <c r="AL107" s="72">
        <v>2364.4</v>
      </c>
      <c r="AM107" s="61"/>
      <c r="AN107" s="71">
        <v>2.24E-2</v>
      </c>
      <c r="AY107" s="60">
        <v>45566</v>
      </c>
      <c r="AZ107" s="61">
        <v>2024</v>
      </c>
      <c r="BA107" s="61">
        <v>10</v>
      </c>
      <c r="BB107" s="62">
        <v>103.7</v>
      </c>
      <c r="BC107" s="61">
        <v>104.2</v>
      </c>
      <c r="BD107" s="61">
        <v>103</v>
      </c>
      <c r="BE107" s="62">
        <v>6.21</v>
      </c>
      <c r="BF107" s="62">
        <v>6.68</v>
      </c>
      <c r="BG107" s="62">
        <v>5.62</v>
      </c>
      <c r="BI107" s="3">
        <v>45566</v>
      </c>
      <c r="BJ107" s="4">
        <v>84.004999999999995</v>
      </c>
    </row>
    <row r="108" spans="1:62" x14ac:dyDescent="0.25">
      <c r="A108" s="65">
        <v>42527</v>
      </c>
      <c r="B108" s="66">
        <v>8201.0499999999993</v>
      </c>
      <c r="C108" s="66">
        <v>8228.75</v>
      </c>
      <c r="D108" s="66">
        <v>8234.7000000000007</v>
      </c>
      <c r="E108" s="66">
        <v>8186.05</v>
      </c>
      <c r="F108" s="67" t="s">
        <v>2578</v>
      </c>
      <c r="G108" s="68">
        <v>-2.3999999999999998E-3</v>
      </c>
      <c r="H108" s="64"/>
      <c r="I108" s="69">
        <v>45300</v>
      </c>
      <c r="J108" s="70">
        <v>25810.85</v>
      </c>
      <c r="K108" s="70">
        <v>25333.599999999999</v>
      </c>
      <c r="L108" s="70">
        <v>26277.35</v>
      </c>
      <c r="M108" s="70">
        <v>24753.15</v>
      </c>
      <c r="N108" s="61" t="s">
        <v>2698</v>
      </c>
      <c r="O108" s="71">
        <v>2.2800000000000001E-2</v>
      </c>
      <c r="P108" s="64"/>
      <c r="Q108" s="69">
        <v>45300</v>
      </c>
      <c r="R108" s="70">
        <v>5762.48</v>
      </c>
      <c r="S108" s="70">
        <v>5623.89</v>
      </c>
      <c r="T108" s="70">
        <v>5767.37</v>
      </c>
      <c r="U108" s="70">
        <v>5402.62</v>
      </c>
      <c r="V108" s="61"/>
      <c r="W108" s="71">
        <v>2.0199999999999999E-2</v>
      </c>
      <c r="X108" s="64"/>
      <c r="Y108" s="64"/>
      <c r="Z108" s="69">
        <v>45300</v>
      </c>
      <c r="AA108" s="72">
        <v>220641</v>
      </c>
      <c r="AB108" s="72">
        <v>209909</v>
      </c>
      <c r="AC108" s="72">
        <v>224597</v>
      </c>
      <c r="AD108" s="72">
        <v>207527</v>
      </c>
      <c r="AE108" s="61"/>
      <c r="AF108" s="71">
        <v>5.11E-2</v>
      </c>
      <c r="AG108" s="64"/>
      <c r="AH108" s="69">
        <v>45300</v>
      </c>
      <c r="AI108" s="72">
        <v>2634.49</v>
      </c>
      <c r="AJ108" s="72">
        <v>2502.7399999999998</v>
      </c>
      <c r="AK108" s="72">
        <v>2685.96</v>
      </c>
      <c r="AL108" s="72">
        <v>2471.9499999999998</v>
      </c>
      <c r="AM108" s="61"/>
      <c r="AN108" s="71">
        <v>5.2499999999999998E-2</v>
      </c>
      <c r="AY108" s="60">
        <v>45597</v>
      </c>
      <c r="AZ108" s="61">
        <v>2024</v>
      </c>
      <c r="BA108" s="61">
        <v>11</v>
      </c>
      <c r="BB108" s="62">
        <v>103.5</v>
      </c>
      <c r="BC108" s="61">
        <v>104.1</v>
      </c>
      <c r="BD108" s="61">
        <v>102.8</v>
      </c>
      <c r="BE108" s="62">
        <v>5.48</v>
      </c>
      <c r="BF108" s="62">
        <v>5.95</v>
      </c>
      <c r="BG108" s="62">
        <v>4.8899999999999997</v>
      </c>
      <c r="BI108" s="3">
        <v>45597</v>
      </c>
      <c r="BJ108" s="4">
        <v>84.332599999999999</v>
      </c>
    </row>
    <row r="109" spans="1:62" x14ac:dyDescent="0.25">
      <c r="A109" s="65">
        <v>42528</v>
      </c>
      <c r="B109" s="66">
        <v>8266.4500000000007</v>
      </c>
      <c r="C109" s="66">
        <v>8235.5499999999993</v>
      </c>
      <c r="D109" s="66">
        <v>8294.9500000000007</v>
      </c>
      <c r="E109" s="66">
        <v>8216.4</v>
      </c>
      <c r="F109" s="67" t="s">
        <v>2577</v>
      </c>
      <c r="G109" s="68">
        <v>8.0000000000000002E-3</v>
      </c>
      <c r="H109" s="64"/>
      <c r="I109" s="69">
        <v>45301</v>
      </c>
      <c r="J109" s="70">
        <v>24205.35</v>
      </c>
      <c r="K109" s="70">
        <v>25788.45</v>
      </c>
      <c r="L109" s="70">
        <v>25907.599999999999</v>
      </c>
      <c r="M109" s="70">
        <v>24073.9</v>
      </c>
      <c r="N109" s="61" t="s">
        <v>2697</v>
      </c>
      <c r="O109" s="71">
        <v>-6.2199999999999998E-2</v>
      </c>
      <c r="P109" s="64"/>
      <c r="Q109" s="69">
        <v>45301</v>
      </c>
      <c r="R109" s="70">
        <v>5705.45</v>
      </c>
      <c r="S109" s="70">
        <v>5757.73</v>
      </c>
      <c r="T109" s="70">
        <v>5878.46</v>
      </c>
      <c r="U109" s="70">
        <v>5674</v>
      </c>
      <c r="V109" s="61"/>
      <c r="W109" s="71">
        <v>-9.9000000000000008E-3</v>
      </c>
      <c r="X109" s="64"/>
      <c r="Y109" s="64"/>
      <c r="Z109" s="69">
        <v>45301</v>
      </c>
      <c r="AA109" s="72">
        <v>230649</v>
      </c>
      <c r="AB109" s="72">
        <v>220746</v>
      </c>
      <c r="AC109" s="72">
        <v>234642</v>
      </c>
      <c r="AD109" s="72">
        <v>218664</v>
      </c>
      <c r="AE109" s="61"/>
      <c r="AF109" s="71">
        <v>4.5400000000000003E-2</v>
      </c>
      <c r="AG109" s="64"/>
      <c r="AH109" s="69">
        <v>45301</v>
      </c>
      <c r="AI109" s="72">
        <v>2743.8</v>
      </c>
      <c r="AJ109" s="72">
        <v>2635.41</v>
      </c>
      <c r="AK109" s="72">
        <v>2790.41</v>
      </c>
      <c r="AL109" s="72">
        <v>2604.15</v>
      </c>
      <c r="AM109" s="61"/>
      <c r="AN109" s="71">
        <v>4.1500000000000002E-2</v>
      </c>
      <c r="AY109" s="60">
        <v>45627</v>
      </c>
      <c r="AZ109" s="61">
        <v>2024</v>
      </c>
      <c r="BA109" s="61">
        <v>12</v>
      </c>
      <c r="BB109" s="62">
        <v>102.9</v>
      </c>
      <c r="BC109" s="61">
        <v>103.6</v>
      </c>
      <c r="BD109" s="61">
        <v>102.1</v>
      </c>
      <c r="BE109" s="62">
        <v>5.22</v>
      </c>
      <c r="BF109" s="62">
        <v>5.76</v>
      </c>
      <c r="BG109" s="62">
        <v>4.58</v>
      </c>
      <c r="BI109" s="3">
        <v>45627</v>
      </c>
      <c r="BJ109" s="4">
        <v>84.968599999999995</v>
      </c>
    </row>
    <row r="110" spans="1:62" x14ac:dyDescent="0.25">
      <c r="A110" s="65">
        <v>42529</v>
      </c>
      <c r="B110" s="66">
        <v>8273.0499999999993</v>
      </c>
      <c r="C110" s="66">
        <v>8285.5</v>
      </c>
      <c r="D110" s="66">
        <v>8288.9</v>
      </c>
      <c r="E110" s="66">
        <v>8252.0499999999993</v>
      </c>
      <c r="F110" s="67" t="s">
        <v>2360</v>
      </c>
      <c r="G110" s="68">
        <v>8.0000000000000004E-4</v>
      </c>
      <c r="H110" s="64"/>
      <c r="I110" s="69">
        <v>45302</v>
      </c>
      <c r="J110" s="70">
        <v>24131.1</v>
      </c>
      <c r="K110" s="70">
        <v>24302.75</v>
      </c>
      <c r="L110" s="70">
        <v>24537.599999999999</v>
      </c>
      <c r="M110" s="70">
        <v>23263.15</v>
      </c>
      <c r="N110" s="61" t="s">
        <v>2696</v>
      </c>
      <c r="O110" s="71">
        <v>-3.0999999999999999E-3</v>
      </c>
      <c r="P110" s="64"/>
      <c r="Q110" s="69">
        <v>45302</v>
      </c>
      <c r="R110" s="70">
        <v>6032.38</v>
      </c>
      <c r="S110" s="70">
        <v>5723.22</v>
      </c>
      <c r="T110" s="70">
        <v>6044.17</v>
      </c>
      <c r="U110" s="70">
        <v>5696.51</v>
      </c>
      <c r="V110" s="61"/>
      <c r="W110" s="71">
        <v>5.7299999999999997E-2</v>
      </c>
      <c r="X110" s="64"/>
      <c r="Y110" s="64"/>
      <c r="Z110" s="69">
        <v>45302</v>
      </c>
      <c r="AA110" s="72">
        <v>224381</v>
      </c>
      <c r="AB110" s="72">
        <v>230674</v>
      </c>
      <c r="AC110" s="72">
        <v>232203</v>
      </c>
      <c r="AD110" s="72">
        <v>214107</v>
      </c>
      <c r="AE110" s="61"/>
      <c r="AF110" s="71">
        <v>-2.7199999999999998E-2</v>
      </c>
      <c r="AG110" s="64"/>
      <c r="AH110" s="69">
        <v>45302</v>
      </c>
      <c r="AI110" s="72">
        <v>2653.55</v>
      </c>
      <c r="AJ110" s="72">
        <v>2742.5</v>
      </c>
      <c r="AK110" s="72">
        <v>2762.3</v>
      </c>
      <c r="AL110" s="72">
        <v>2536.9</v>
      </c>
      <c r="AM110" s="61"/>
      <c r="AN110" s="71">
        <v>-3.2899999999999999E-2</v>
      </c>
      <c r="AY110" s="60">
        <v>45658</v>
      </c>
      <c r="AZ110" s="61">
        <v>2025</v>
      </c>
      <c r="BA110" s="61">
        <v>1</v>
      </c>
      <c r="BB110" s="62">
        <v>101.67</v>
      </c>
      <c r="BC110" s="61">
        <v>101.81</v>
      </c>
      <c r="BD110" s="61">
        <v>101.49</v>
      </c>
      <c r="BE110" s="62">
        <v>4.0599999999999996</v>
      </c>
      <c r="BF110" s="62">
        <v>4.0999999999999996</v>
      </c>
      <c r="BG110" s="62">
        <v>3.99</v>
      </c>
      <c r="BI110" s="3">
        <v>45658</v>
      </c>
      <c r="BJ110" s="4">
        <v>86.265199999999993</v>
      </c>
    </row>
    <row r="111" spans="1:62" x14ac:dyDescent="0.25">
      <c r="A111" s="65">
        <v>42530</v>
      </c>
      <c r="B111" s="66">
        <v>8203.6</v>
      </c>
      <c r="C111" s="66">
        <v>8273.35</v>
      </c>
      <c r="D111" s="66">
        <v>8273.35</v>
      </c>
      <c r="E111" s="66">
        <v>8184.6</v>
      </c>
      <c r="F111" s="67" t="s">
        <v>2576</v>
      </c>
      <c r="G111" s="68">
        <v>-8.3999999999999995E-3</v>
      </c>
      <c r="H111" s="64"/>
      <c r="I111" s="69">
        <v>45303</v>
      </c>
      <c r="J111" s="70">
        <v>23644.799999999999</v>
      </c>
      <c r="K111" s="70">
        <v>24140.85</v>
      </c>
      <c r="L111" s="70">
        <v>24857.75</v>
      </c>
      <c r="M111" s="70">
        <v>23460.45</v>
      </c>
      <c r="N111" s="61" t="s">
        <v>2695</v>
      </c>
      <c r="O111" s="71">
        <v>-2.0199999999999999E-2</v>
      </c>
      <c r="P111" s="64"/>
      <c r="Q111" s="69">
        <v>45303</v>
      </c>
      <c r="R111" s="70">
        <v>5881.63</v>
      </c>
      <c r="S111" s="70">
        <v>6040.11</v>
      </c>
      <c r="T111" s="70">
        <v>6099.97</v>
      </c>
      <c r="U111" s="70">
        <v>5832.3</v>
      </c>
      <c r="V111" s="61"/>
      <c r="W111" s="71">
        <v>-2.5000000000000001E-2</v>
      </c>
      <c r="X111" s="64"/>
      <c r="Y111" s="64"/>
      <c r="Z111" s="69">
        <v>45303</v>
      </c>
      <c r="AA111" s="72">
        <v>224478</v>
      </c>
      <c r="AB111" s="72">
        <v>224418</v>
      </c>
      <c r="AC111" s="72">
        <v>231300</v>
      </c>
      <c r="AD111" s="72">
        <v>219325</v>
      </c>
      <c r="AE111" s="61"/>
      <c r="AF111" s="71">
        <v>4.0000000000000002E-4</v>
      </c>
      <c r="AG111" s="64"/>
      <c r="AH111" s="69">
        <v>45303</v>
      </c>
      <c r="AI111" s="72">
        <v>2623.81</v>
      </c>
      <c r="AJ111" s="72">
        <v>2653.82</v>
      </c>
      <c r="AK111" s="72">
        <v>2726.31</v>
      </c>
      <c r="AL111" s="72">
        <v>2583.4899999999998</v>
      </c>
      <c r="AM111" s="61"/>
      <c r="AN111" s="71">
        <v>-1.12E-2</v>
      </c>
      <c r="AY111" s="60">
        <v>45689</v>
      </c>
      <c r="AZ111" s="61">
        <v>2025</v>
      </c>
      <c r="BA111" s="61">
        <v>2</v>
      </c>
      <c r="BB111" s="62">
        <v>101.32</v>
      </c>
      <c r="BC111" s="61">
        <v>101.33</v>
      </c>
      <c r="BD111" s="61">
        <v>101.3</v>
      </c>
      <c r="BE111" s="62">
        <v>3.49</v>
      </c>
      <c r="BF111" s="62">
        <v>3.5</v>
      </c>
      <c r="BG111" s="62">
        <v>3.47</v>
      </c>
      <c r="BI111" s="3">
        <v>45689</v>
      </c>
      <c r="BJ111" s="4">
        <v>87.063699999999997</v>
      </c>
    </row>
    <row r="112" spans="1:62" x14ac:dyDescent="0.25">
      <c r="A112" s="65">
        <v>42531</v>
      </c>
      <c r="B112" s="66">
        <v>8170.05</v>
      </c>
      <c r="C112" s="66">
        <v>8180.25</v>
      </c>
      <c r="D112" s="66">
        <v>8265.6</v>
      </c>
      <c r="E112" s="66">
        <v>8162.85</v>
      </c>
      <c r="F112" s="67" t="s">
        <v>2575</v>
      </c>
      <c r="G112" s="68">
        <v>-4.1000000000000003E-3</v>
      </c>
      <c r="H112" s="64"/>
      <c r="I112" s="69">
        <v>45658</v>
      </c>
      <c r="J112" s="70">
        <v>23508.400000000001</v>
      </c>
      <c r="K112" s="70">
        <v>23637.65</v>
      </c>
      <c r="L112" s="70">
        <v>24226.7</v>
      </c>
      <c r="M112" s="70">
        <v>22786.9</v>
      </c>
      <c r="N112" s="61" t="s">
        <v>2694</v>
      </c>
      <c r="O112" s="71">
        <v>-5.7999999999999996E-3</v>
      </c>
      <c r="P112" s="64"/>
      <c r="Q112" s="69">
        <v>45658</v>
      </c>
      <c r="R112" s="70">
        <v>6040.53</v>
      </c>
      <c r="S112" s="70">
        <v>5903.26</v>
      </c>
      <c r="T112" s="70">
        <v>6128.18</v>
      </c>
      <c r="U112" s="70">
        <v>5773.31</v>
      </c>
      <c r="V112" s="61"/>
      <c r="W112" s="71">
        <v>2.7E-2</v>
      </c>
      <c r="X112" s="64"/>
      <c r="Y112" s="64"/>
      <c r="Z112" s="69">
        <v>45658</v>
      </c>
      <c r="AA112" s="72">
        <v>242473</v>
      </c>
      <c r="AB112" s="72">
        <v>224734</v>
      </c>
      <c r="AC112" s="72">
        <v>244010</v>
      </c>
      <c r="AD112" s="72">
        <v>224146</v>
      </c>
      <c r="AE112" s="61"/>
      <c r="AF112" s="71">
        <v>8.0199999999999994E-2</v>
      </c>
      <c r="AG112" s="64"/>
      <c r="AH112" s="69">
        <v>45658</v>
      </c>
      <c r="AI112" s="72">
        <v>2801.18</v>
      </c>
      <c r="AJ112" s="72">
        <v>2626.61</v>
      </c>
      <c r="AK112" s="72">
        <v>2817.57</v>
      </c>
      <c r="AL112" s="72">
        <v>2614.6</v>
      </c>
      <c r="AM112" s="61"/>
      <c r="AN112" s="71">
        <v>6.7599999999999993E-2</v>
      </c>
      <c r="AY112" s="60">
        <v>45717</v>
      </c>
      <c r="AZ112" s="61">
        <v>2025</v>
      </c>
      <c r="BA112" s="61">
        <v>3</v>
      </c>
      <c r="BB112" s="62">
        <v>101.39</v>
      </c>
      <c r="BC112" s="61">
        <v>101.34</v>
      </c>
      <c r="BD112" s="61">
        <v>101.47</v>
      </c>
      <c r="BE112" s="62">
        <v>3.56</v>
      </c>
      <c r="BF112" s="62">
        <v>3.3</v>
      </c>
      <c r="BG112" s="62">
        <v>3.86</v>
      </c>
      <c r="BI112" s="3">
        <v>45717</v>
      </c>
      <c r="BJ112" s="4">
        <v>86.5214</v>
      </c>
    </row>
    <row r="113" spans="1:62" x14ac:dyDescent="0.25">
      <c r="A113" s="65">
        <v>42534</v>
      </c>
      <c r="B113" s="66">
        <v>8110.6</v>
      </c>
      <c r="C113" s="66">
        <v>8102.25</v>
      </c>
      <c r="D113" s="66">
        <v>8125.25</v>
      </c>
      <c r="E113" s="66">
        <v>8063.9</v>
      </c>
      <c r="F113" s="67" t="s">
        <v>2574</v>
      </c>
      <c r="G113" s="68">
        <v>-7.3000000000000001E-3</v>
      </c>
      <c r="H113" s="64"/>
      <c r="I113" s="69">
        <v>45659</v>
      </c>
      <c r="J113" s="70">
        <v>22124.7</v>
      </c>
      <c r="K113" s="70">
        <v>23528.6</v>
      </c>
      <c r="L113" s="70">
        <v>23807.3</v>
      </c>
      <c r="M113" s="70">
        <v>22104.85</v>
      </c>
      <c r="N113" s="61" t="s">
        <v>2693</v>
      </c>
      <c r="O113" s="71">
        <v>-5.8900000000000001E-2</v>
      </c>
      <c r="P113" s="64"/>
      <c r="Q113" s="69">
        <v>45659</v>
      </c>
      <c r="R113" s="70">
        <v>5954.5</v>
      </c>
      <c r="S113" s="70">
        <v>5969.65</v>
      </c>
      <c r="T113" s="70">
        <v>6147.43</v>
      </c>
      <c r="U113" s="70">
        <v>5837.66</v>
      </c>
      <c r="V113" s="61"/>
      <c r="W113" s="71">
        <v>-1.4200000000000001E-2</v>
      </c>
      <c r="X113" s="64"/>
      <c r="Y113" s="64"/>
      <c r="Z113" s="69">
        <v>45659</v>
      </c>
      <c r="AA113" s="72">
        <v>250046</v>
      </c>
      <c r="AB113" s="72">
        <v>242492</v>
      </c>
      <c r="AC113" s="72">
        <v>257607</v>
      </c>
      <c r="AD113" s="72">
        <v>240323</v>
      </c>
      <c r="AE113" s="61"/>
      <c r="AF113" s="71">
        <v>3.1199999999999999E-2</v>
      </c>
      <c r="AG113" s="64"/>
      <c r="AH113" s="69">
        <v>45659</v>
      </c>
      <c r="AI113" s="72">
        <v>2858.77</v>
      </c>
      <c r="AJ113" s="72">
        <v>2801.4</v>
      </c>
      <c r="AK113" s="72">
        <v>2956.37</v>
      </c>
      <c r="AL113" s="72">
        <v>2771.69</v>
      </c>
      <c r="AM113" s="61"/>
      <c r="AN113" s="71">
        <v>2.06E-2</v>
      </c>
      <c r="AY113" s="60">
        <v>45748</v>
      </c>
      <c r="AZ113" s="61">
        <v>2025</v>
      </c>
      <c r="BA113" s="61">
        <v>4</v>
      </c>
      <c r="BB113" s="62">
        <v>101.58</v>
      </c>
      <c r="BC113" s="61">
        <v>101.49</v>
      </c>
      <c r="BD113" s="61">
        <v>101.71</v>
      </c>
      <c r="BE113" s="62">
        <v>3.34</v>
      </c>
      <c r="BF113" s="62">
        <v>3.14</v>
      </c>
      <c r="BG113" s="62">
        <v>3.47</v>
      </c>
      <c r="BI113" s="3">
        <v>45748</v>
      </c>
      <c r="BJ113" s="4">
        <v>85.576800000000006</v>
      </c>
    </row>
    <row r="114" spans="1:62" x14ac:dyDescent="0.25">
      <c r="A114" s="65">
        <v>42535</v>
      </c>
      <c r="B114" s="66">
        <v>8108.85</v>
      </c>
      <c r="C114" s="66">
        <v>8134.4</v>
      </c>
      <c r="D114" s="66">
        <v>8134.95</v>
      </c>
      <c r="E114" s="66">
        <v>8069.5</v>
      </c>
      <c r="F114" s="67" t="s">
        <v>2573</v>
      </c>
      <c r="G114" s="68">
        <v>-2.0000000000000001E-4</v>
      </c>
      <c r="H114" s="64"/>
      <c r="I114" s="69">
        <v>45660</v>
      </c>
      <c r="J114" s="70">
        <v>23519.35</v>
      </c>
      <c r="K114" s="70">
        <v>22194.55</v>
      </c>
      <c r="L114" s="70">
        <v>23869.599999999999</v>
      </c>
      <c r="M114" s="70">
        <v>21964.6</v>
      </c>
      <c r="N114" s="61" t="s">
        <v>2686</v>
      </c>
      <c r="O114" s="71">
        <v>6.3E-2</v>
      </c>
      <c r="P114" s="64"/>
      <c r="Q114" s="69">
        <v>45660</v>
      </c>
      <c r="R114" s="70">
        <v>5611.85</v>
      </c>
      <c r="S114" s="70">
        <v>5968.33</v>
      </c>
      <c r="T114" s="70">
        <v>5986.09</v>
      </c>
      <c r="U114" s="70">
        <v>5488.73</v>
      </c>
      <c r="V114" s="61"/>
      <c r="W114" s="71">
        <v>-5.7500000000000002E-2</v>
      </c>
      <c r="X114" s="64"/>
      <c r="Y114" s="64"/>
      <c r="Z114" s="69">
        <v>45660</v>
      </c>
      <c r="AA114" s="72">
        <v>266956</v>
      </c>
      <c r="AB114" s="72">
        <v>249879</v>
      </c>
      <c r="AC114" s="72">
        <v>267486</v>
      </c>
      <c r="AD114" s="72">
        <v>249778</v>
      </c>
      <c r="AE114" s="61"/>
      <c r="AF114" s="71">
        <v>6.7599999999999993E-2</v>
      </c>
      <c r="AG114" s="64"/>
      <c r="AH114" s="69">
        <v>45660</v>
      </c>
      <c r="AI114" s="72">
        <v>3123.35</v>
      </c>
      <c r="AJ114" s="72">
        <v>2856.71</v>
      </c>
      <c r="AK114" s="72">
        <v>3128.29</v>
      </c>
      <c r="AL114" s="72">
        <v>2855.63</v>
      </c>
      <c r="AM114" s="61"/>
      <c r="AN114" s="71">
        <v>9.2600000000000002E-2</v>
      </c>
      <c r="AY114" s="60">
        <v>45778</v>
      </c>
      <c r="AZ114" s="61">
        <v>2025</v>
      </c>
      <c r="BA114" s="61">
        <v>5</v>
      </c>
      <c r="BB114" s="62">
        <v>101.9</v>
      </c>
      <c r="BC114" s="61">
        <v>101.78</v>
      </c>
      <c r="BD114" s="61">
        <v>102.06</v>
      </c>
      <c r="BE114" s="62">
        <v>3.03</v>
      </c>
      <c r="BF114" s="62">
        <v>2.91</v>
      </c>
      <c r="BG114" s="62">
        <v>3.3</v>
      </c>
      <c r="BI114" s="3">
        <v>45778</v>
      </c>
      <c r="BJ114" s="4">
        <v>85.246200000000002</v>
      </c>
    </row>
    <row r="115" spans="1:62" x14ac:dyDescent="0.25">
      <c r="A115" s="65">
        <v>42536</v>
      </c>
      <c r="B115" s="66">
        <v>8206.6</v>
      </c>
      <c r="C115" s="66">
        <v>8139.4</v>
      </c>
      <c r="D115" s="66">
        <v>8213.2000000000007</v>
      </c>
      <c r="E115" s="66">
        <v>8123.15</v>
      </c>
      <c r="F115" s="67" t="s">
        <v>2572</v>
      </c>
      <c r="G115" s="68">
        <v>1.21E-2</v>
      </c>
      <c r="H115" s="64"/>
      <c r="I115" s="69">
        <v>45661</v>
      </c>
      <c r="J115" s="70">
        <v>24334.2</v>
      </c>
      <c r="K115" s="70">
        <v>23341.1</v>
      </c>
      <c r="L115" s="70">
        <v>24457.65</v>
      </c>
      <c r="M115" s="70">
        <v>21743.65</v>
      </c>
      <c r="N115" s="61" t="s">
        <v>2692</v>
      </c>
      <c r="O115" s="71">
        <v>3.4599999999999999E-2</v>
      </c>
      <c r="P115" s="64"/>
      <c r="Q115" s="69">
        <v>45661</v>
      </c>
      <c r="R115" s="70">
        <v>5569.06</v>
      </c>
      <c r="S115" s="70">
        <v>5597.53</v>
      </c>
      <c r="T115" s="70">
        <v>5695.31</v>
      </c>
      <c r="U115" s="70">
        <v>4835.04</v>
      </c>
      <c r="V115" s="61"/>
      <c r="W115" s="71">
        <v>-7.6E-3</v>
      </c>
      <c r="X115" s="64"/>
      <c r="Y115" s="64"/>
      <c r="Z115" s="69">
        <v>45661</v>
      </c>
      <c r="AA115" s="72">
        <v>278203</v>
      </c>
      <c r="AB115" s="72">
        <v>266963</v>
      </c>
      <c r="AC115" s="72">
        <v>297801</v>
      </c>
      <c r="AD115" s="72">
        <v>253917</v>
      </c>
      <c r="AE115" s="61"/>
      <c r="AF115" s="71">
        <v>4.2099999999999999E-2</v>
      </c>
      <c r="AG115" s="64"/>
      <c r="AH115" s="69">
        <v>45661</v>
      </c>
      <c r="AI115" s="72">
        <v>3288.59</v>
      </c>
      <c r="AJ115" s="72">
        <v>3123.36</v>
      </c>
      <c r="AK115" s="72">
        <v>3500.33</v>
      </c>
      <c r="AL115" s="72">
        <v>2956.6</v>
      </c>
      <c r="AM115" s="61"/>
      <c r="AN115" s="71">
        <v>5.2900000000000003E-2</v>
      </c>
      <c r="AY115" s="60">
        <v>45809</v>
      </c>
      <c r="AZ115" s="61">
        <v>2025</v>
      </c>
      <c r="BA115" s="61">
        <v>6</v>
      </c>
      <c r="BB115" s="62">
        <v>102.51</v>
      </c>
      <c r="BC115" s="61">
        <v>102.39</v>
      </c>
      <c r="BD115" s="61">
        <v>102.66</v>
      </c>
      <c r="BE115" s="62">
        <v>2.31</v>
      </c>
      <c r="BF115" s="62">
        <v>1.98</v>
      </c>
      <c r="BG115" s="62">
        <v>2.76</v>
      </c>
      <c r="BI115" s="3">
        <v>45809</v>
      </c>
      <c r="BJ115" s="4">
        <v>85.876499999999993</v>
      </c>
    </row>
    <row r="116" spans="1:62" x14ac:dyDescent="0.25">
      <c r="A116" s="65">
        <v>42537</v>
      </c>
      <c r="B116" s="66">
        <v>8140.75</v>
      </c>
      <c r="C116" s="66">
        <v>8180.65</v>
      </c>
      <c r="D116" s="66">
        <v>8180.65</v>
      </c>
      <c r="E116" s="66">
        <v>8074.45</v>
      </c>
      <c r="F116" s="67" t="s">
        <v>2571</v>
      </c>
      <c r="G116" s="68">
        <v>-8.0000000000000002E-3</v>
      </c>
      <c r="H116" s="64"/>
      <c r="I116" s="69">
        <v>45662</v>
      </c>
      <c r="J116" s="70">
        <v>24750.7</v>
      </c>
      <c r="K116" s="70">
        <v>24311.9</v>
      </c>
      <c r="L116" s="70">
        <v>25116.25</v>
      </c>
      <c r="M116" s="70">
        <v>23935.75</v>
      </c>
      <c r="N116" s="61" t="s">
        <v>2691</v>
      </c>
      <c r="O116" s="71">
        <v>1.7100000000000001E-2</v>
      </c>
      <c r="P116" s="64"/>
      <c r="Q116" s="69">
        <v>45662</v>
      </c>
      <c r="R116" s="70">
        <v>5911.69</v>
      </c>
      <c r="S116" s="70">
        <v>5625.14</v>
      </c>
      <c r="T116" s="70">
        <v>5968.61</v>
      </c>
      <c r="U116" s="70">
        <v>5578.64</v>
      </c>
      <c r="V116" s="61"/>
      <c r="W116" s="71">
        <v>6.1499999999999999E-2</v>
      </c>
      <c r="X116" s="64"/>
      <c r="Y116" s="64"/>
      <c r="Z116" s="69">
        <v>45662</v>
      </c>
      <c r="AA116" s="72">
        <v>281325</v>
      </c>
      <c r="AB116" s="72">
        <v>278282</v>
      </c>
      <c r="AC116" s="72">
        <v>289890</v>
      </c>
      <c r="AD116" s="72">
        <v>267485</v>
      </c>
      <c r="AE116" s="61"/>
      <c r="AF116" s="71">
        <v>1.12E-2</v>
      </c>
      <c r="AG116" s="64"/>
      <c r="AH116" s="69">
        <v>45662</v>
      </c>
      <c r="AI116" s="72">
        <v>3289.4</v>
      </c>
      <c r="AJ116" s="72">
        <v>3288.55</v>
      </c>
      <c r="AK116" s="72">
        <v>3438.59</v>
      </c>
      <c r="AL116" s="72">
        <v>3120.52</v>
      </c>
      <c r="AM116" s="61"/>
      <c r="AN116" s="71">
        <v>2.0000000000000001E-4</v>
      </c>
      <c r="AY116" s="60">
        <v>45839</v>
      </c>
      <c r="AZ116" s="61">
        <v>2025</v>
      </c>
      <c r="BA116" s="61">
        <v>7</v>
      </c>
      <c r="BB116" s="62">
        <v>103.35</v>
      </c>
      <c r="BC116" s="61">
        <v>103.34</v>
      </c>
      <c r="BD116" s="61">
        <v>103.36</v>
      </c>
      <c r="BE116" s="62">
        <v>1.62</v>
      </c>
      <c r="BF116" s="62">
        <v>1.31</v>
      </c>
      <c r="BG116" s="62">
        <v>2.13</v>
      </c>
      <c r="BI116" s="3">
        <v>45839</v>
      </c>
      <c r="BJ116" s="4">
        <v>86.171400000000006</v>
      </c>
    </row>
    <row r="117" spans="1:62" x14ac:dyDescent="0.25">
      <c r="A117" s="65">
        <v>42538</v>
      </c>
      <c r="B117" s="66">
        <v>8170.2</v>
      </c>
      <c r="C117" s="66">
        <v>8176.65</v>
      </c>
      <c r="D117" s="66">
        <v>8195.25</v>
      </c>
      <c r="E117" s="66">
        <v>8135.8</v>
      </c>
      <c r="F117" s="67" t="s">
        <v>2570</v>
      </c>
      <c r="G117" s="68">
        <v>3.5999999999999999E-3</v>
      </c>
      <c r="H117" s="64"/>
      <c r="I117" s="69">
        <v>45663</v>
      </c>
      <c r="J117" s="70">
        <v>25517.05</v>
      </c>
      <c r="K117" s="70">
        <v>24669.7</v>
      </c>
      <c r="L117" s="70">
        <v>25669.35</v>
      </c>
      <c r="M117" s="70">
        <v>24473</v>
      </c>
      <c r="N117" s="61" t="s">
        <v>2690</v>
      </c>
      <c r="O117" s="71">
        <v>3.1E-2</v>
      </c>
      <c r="P117" s="64"/>
      <c r="Q117" s="69">
        <v>45663</v>
      </c>
      <c r="R117" s="70">
        <v>6204.95</v>
      </c>
      <c r="S117" s="70">
        <v>5896.68</v>
      </c>
      <c r="T117" s="70">
        <v>6215.08</v>
      </c>
      <c r="U117" s="70">
        <v>5861.43</v>
      </c>
      <c r="V117" s="61"/>
      <c r="W117" s="71">
        <v>4.9599999999999998E-2</v>
      </c>
      <c r="X117" s="64"/>
      <c r="Y117" s="64"/>
      <c r="Z117" s="69">
        <v>45663</v>
      </c>
      <c r="AA117" s="72">
        <v>283062</v>
      </c>
      <c r="AB117" s="72">
        <v>281359</v>
      </c>
      <c r="AC117" s="72">
        <v>297214</v>
      </c>
      <c r="AD117" s="72">
        <v>277546</v>
      </c>
      <c r="AE117" s="61"/>
      <c r="AF117" s="71">
        <v>6.1999999999999998E-3</v>
      </c>
      <c r="AG117" s="64"/>
      <c r="AH117" s="69">
        <v>45663</v>
      </c>
      <c r="AI117" s="72">
        <v>3303.69</v>
      </c>
      <c r="AJ117" s="72">
        <v>3289.8</v>
      </c>
      <c r="AK117" s="72">
        <v>3451.62</v>
      </c>
      <c r="AL117" s="72">
        <v>3247.86</v>
      </c>
      <c r="AM117" s="61"/>
      <c r="AN117" s="71">
        <v>4.3E-3</v>
      </c>
      <c r="AY117" s="60">
        <v>45870</v>
      </c>
      <c r="AZ117" s="61">
        <v>2025</v>
      </c>
      <c r="BA117" s="61">
        <v>8</v>
      </c>
      <c r="BB117" s="62">
        <v>103.74</v>
      </c>
      <c r="BC117" s="61">
        <v>103.84</v>
      </c>
      <c r="BD117" s="61">
        <v>103.6</v>
      </c>
      <c r="BE117" s="62">
        <v>2.0099999999999998</v>
      </c>
      <c r="BF117" s="62">
        <v>1.8</v>
      </c>
      <c r="BG117" s="62">
        <v>2.37</v>
      </c>
      <c r="BI117" s="3">
        <v>45870</v>
      </c>
      <c r="BJ117" s="4">
        <v>87.569500000000005</v>
      </c>
    </row>
    <row r="118" spans="1:62" x14ac:dyDescent="0.25">
      <c r="A118" s="65">
        <v>42541</v>
      </c>
      <c r="B118" s="66">
        <v>8238.5</v>
      </c>
      <c r="C118" s="66">
        <v>8115.75</v>
      </c>
      <c r="D118" s="66">
        <v>8244.15</v>
      </c>
      <c r="E118" s="66">
        <v>8107.35</v>
      </c>
      <c r="F118" s="67" t="s">
        <v>2569</v>
      </c>
      <c r="G118" s="68">
        <v>8.3999999999999995E-3</v>
      </c>
      <c r="H118" s="64"/>
      <c r="I118" s="69">
        <v>45664</v>
      </c>
      <c r="J118" s="70">
        <v>24768.35</v>
      </c>
      <c r="K118" s="70">
        <v>25551.35</v>
      </c>
      <c r="L118" s="70">
        <v>25608.1</v>
      </c>
      <c r="M118" s="70">
        <v>24598.6</v>
      </c>
      <c r="N118" s="61" t="s">
        <v>2689</v>
      </c>
      <c r="O118" s="71">
        <v>-2.93E-2</v>
      </c>
      <c r="P118" s="64"/>
      <c r="Q118" s="69">
        <v>45664</v>
      </c>
      <c r="R118" s="70">
        <v>6339.39</v>
      </c>
      <c r="S118" s="70">
        <v>6187.25</v>
      </c>
      <c r="T118" s="70">
        <v>6427.02</v>
      </c>
      <c r="U118" s="70">
        <v>6177.97</v>
      </c>
      <c r="V118" s="61"/>
      <c r="W118" s="71">
        <v>2.1700000000000001E-2</v>
      </c>
      <c r="X118" s="64"/>
      <c r="Y118" s="64"/>
      <c r="Z118" s="69">
        <v>45664</v>
      </c>
      <c r="AA118" s="72">
        <v>288034</v>
      </c>
      <c r="AB118" s="72">
        <v>283056</v>
      </c>
      <c r="AC118" s="72">
        <v>296867</v>
      </c>
      <c r="AD118" s="72">
        <v>281344</v>
      </c>
      <c r="AE118" s="61"/>
      <c r="AF118" s="71">
        <v>1.7600000000000001E-2</v>
      </c>
      <c r="AG118" s="64"/>
      <c r="AH118" s="69">
        <v>45664</v>
      </c>
      <c r="AI118" s="72">
        <v>3290.32</v>
      </c>
      <c r="AJ118" s="72">
        <v>3302.87</v>
      </c>
      <c r="AK118" s="72">
        <v>3439.09</v>
      </c>
      <c r="AL118" s="72">
        <v>3268.15</v>
      </c>
      <c r="AM118" s="61"/>
      <c r="AN118" s="71">
        <v>-4.0000000000000001E-3</v>
      </c>
      <c r="AY118" s="60">
        <v>45901</v>
      </c>
      <c r="AZ118" s="61">
        <v>2025</v>
      </c>
      <c r="BA118" s="61">
        <v>9</v>
      </c>
      <c r="BB118" s="62">
        <v>103.74</v>
      </c>
      <c r="BC118" s="61">
        <v>103.8</v>
      </c>
      <c r="BD118" s="61">
        <v>103.66</v>
      </c>
      <c r="BE118" s="62">
        <v>1.41</v>
      </c>
      <c r="BF118" s="62">
        <v>1.07</v>
      </c>
      <c r="BG118" s="62">
        <v>1.83</v>
      </c>
      <c r="BI118" s="3">
        <v>45901</v>
      </c>
      <c r="BJ118" s="4">
        <v>88.321399999999997</v>
      </c>
    </row>
    <row r="119" spans="1:62" x14ac:dyDescent="0.25">
      <c r="A119" s="65">
        <v>42542</v>
      </c>
      <c r="B119" s="66">
        <v>8219.9</v>
      </c>
      <c r="C119" s="66">
        <v>8255.4</v>
      </c>
      <c r="D119" s="66">
        <v>8257.25</v>
      </c>
      <c r="E119" s="66">
        <v>8202.15</v>
      </c>
      <c r="F119" s="67" t="s">
        <v>2568</v>
      </c>
      <c r="G119" s="68">
        <v>-2.3E-3</v>
      </c>
      <c r="H119" s="64"/>
      <c r="I119" s="69">
        <v>45665</v>
      </c>
      <c r="J119" s="70">
        <v>24426.85</v>
      </c>
      <c r="K119" s="70">
        <v>24734.9</v>
      </c>
      <c r="L119" s="70">
        <v>25153.65</v>
      </c>
      <c r="M119" s="70">
        <v>24337.5</v>
      </c>
      <c r="N119" s="61" t="s">
        <v>2688</v>
      </c>
      <c r="O119" s="71">
        <v>-1.38E-2</v>
      </c>
      <c r="P119" s="64"/>
      <c r="Q119" s="69">
        <v>45665</v>
      </c>
      <c r="R119" s="70">
        <v>6460.26</v>
      </c>
      <c r="S119" s="70">
        <v>6287.28</v>
      </c>
      <c r="T119" s="70">
        <v>6508.23</v>
      </c>
      <c r="U119" s="70">
        <v>6212.69</v>
      </c>
      <c r="V119" s="61"/>
      <c r="W119" s="71">
        <v>1.9099999999999999E-2</v>
      </c>
      <c r="X119" s="64"/>
      <c r="Y119" s="64"/>
      <c r="Z119" s="69">
        <v>45665</v>
      </c>
      <c r="AA119" s="72">
        <v>304032</v>
      </c>
      <c r="AB119" s="72">
        <v>287959</v>
      </c>
      <c r="AC119" s="72">
        <v>304396</v>
      </c>
      <c r="AD119" s="72">
        <v>287173</v>
      </c>
      <c r="AE119" s="61"/>
      <c r="AF119" s="71">
        <v>5.5500000000000001E-2</v>
      </c>
      <c r="AG119" s="64"/>
      <c r="AH119" s="69">
        <v>45665</v>
      </c>
      <c r="AI119" s="72">
        <v>3448</v>
      </c>
      <c r="AJ119" s="72">
        <v>3290.83</v>
      </c>
      <c r="AK119" s="72">
        <v>3454.08</v>
      </c>
      <c r="AL119" s="72">
        <v>3281.55</v>
      </c>
      <c r="AM119" s="61"/>
      <c r="AN119" s="71">
        <v>4.7899999999999998E-2</v>
      </c>
      <c r="AY119" s="60">
        <v>45931</v>
      </c>
      <c r="AZ119" s="61">
        <v>2025</v>
      </c>
      <c r="BA119" s="61">
        <v>10</v>
      </c>
      <c r="BB119" s="62">
        <v>103.74</v>
      </c>
      <c r="BC119" s="61">
        <v>103.85</v>
      </c>
      <c r="BD119" s="61">
        <v>103.61</v>
      </c>
      <c r="BE119" s="62">
        <v>0.04</v>
      </c>
      <c r="BF119" s="62">
        <v>-0.34</v>
      </c>
      <c r="BG119" s="62">
        <v>0.59</v>
      </c>
      <c r="BI119" s="3">
        <v>45931</v>
      </c>
      <c r="BJ119" s="4">
        <v>88.369100000000003</v>
      </c>
    </row>
    <row r="120" spans="1:62" x14ac:dyDescent="0.25">
      <c r="A120" s="65">
        <v>42543</v>
      </c>
      <c r="B120" s="66">
        <v>8203.7000000000007</v>
      </c>
      <c r="C120" s="66">
        <v>8213.65</v>
      </c>
      <c r="D120" s="66">
        <v>8238.35</v>
      </c>
      <c r="E120" s="66">
        <v>8153.25</v>
      </c>
      <c r="F120" s="67" t="s">
        <v>2567</v>
      </c>
      <c r="G120" s="68">
        <v>-2E-3</v>
      </c>
      <c r="H120" s="64"/>
      <c r="I120" s="69">
        <v>45666</v>
      </c>
      <c r="J120" s="70">
        <v>24611.1</v>
      </c>
      <c r="K120" s="70">
        <v>24432.7</v>
      </c>
      <c r="L120" s="70">
        <v>25448.95</v>
      </c>
      <c r="M120" s="70">
        <v>24432.7</v>
      </c>
      <c r="N120" s="61" t="s">
        <v>2687</v>
      </c>
      <c r="O120" s="71">
        <v>7.4999999999999997E-3</v>
      </c>
      <c r="P120" s="64"/>
      <c r="Q120" s="69">
        <v>45666</v>
      </c>
      <c r="R120" s="70">
        <v>6688.46</v>
      </c>
      <c r="S120" s="70">
        <v>6401.51</v>
      </c>
      <c r="T120" s="70">
        <v>6699.52</v>
      </c>
      <c r="U120" s="70">
        <v>6360.58</v>
      </c>
      <c r="V120" s="61"/>
      <c r="W120" s="71">
        <v>3.5299999999999998E-2</v>
      </c>
      <c r="X120" s="64"/>
      <c r="Y120" s="64"/>
      <c r="Z120" s="69">
        <v>45666</v>
      </c>
      <c r="AA120" s="72">
        <v>342844</v>
      </c>
      <c r="AB120" s="72">
        <v>304035</v>
      </c>
      <c r="AC120" s="72">
        <v>343797</v>
      </c>
      <c r="AD120" s="72">
        <v>303036</v>
      </c>
      <c r="AE120" s="61"/>
      <c r="AF120" s="71">
        <v>0.12770000000000001</v>
      </c>
      <c r="AG120" s="64"/>
      <c r="AH120" s="69">
        <v>45666</v>
      </c>
      <c r="AI120" s="72">
        <v>3858.51</v>
      </c>
      <c r="AJ120" s="72">
        <v>3448</v>
      </c>
      <c r="AK120" s="72">
        <v>3871.87</v>
      </c>
      <c r="AL120" s="72">
        <v>3436.8</v>
      </c>
      <c r="AM120" s="61"/>
      <c r="AN120" s="71">
        <v>0.1191</v>
      </c>
      <c r="AY120" s="60">
        <v>45962</v>
      </c>
      <c r="AZ120" s="61">
        <v>2025</v>
      </c>
      <c r="BA120" s="61">
        <v>11</v>
      </c>
      <c r="BB120" s="62">
        <v>104.01</v>
      </c>
      <c r="BC120" s="61">
        <v>104.16</v>
      </c>
      <c r="BD120" s="61">
        <v>103.83</v>
      </c>
      <c r="BE120" s="62">
        <v>0.49</v>
      </c>
      <c r="BF120" s="62">
        <v>0.06</v>
      </c>
      <c r="BG120" s="62">
        <v>1</v>
      </c>
      <c r="BI120" s="3">
        <v>45962</v>
      </c>
      <c r="BJ120" s="4">
        <v>88.844399999999993</v>
      </c>
    </row>
    <row r="121" spans="1:62" x14ac:dyDescent="0.25">
      <c r="A121" s="65">
        <v>42544</v>
      </c>
      <c r="B121" s="66">
        <v>8270.4500000000007</v>
      </c>
      <c r="C121" s="66">
        <v>8201.15</v>
      </c>
      <c r="D121" s="66">
        <v>8285.6</v>
      </c>
      <c r="E121" s="66">
        <v>8188.3</v>
      </c>
      <c r="F121" s="67" t="s">
        <v>2566</v>
      </c>
      <c r="G121" s="68">
        <v>8.0999999999999996E-3</v>
      </c>
      <c r="H121" s="64"/>
      <c r="I121" s="69">
        <v>45667</v>
      </c>
      <c r="J121" s="70">
        <v>25722.1</v>
      </c>
      <c r="K121" s="70">
        <v>24620.55</v>
      </c>
      <c r="L121" s="70">
        <v>26104.2</v>
      </c>
      <c r="M121" s="70">
        <v>24605.95</v>
      </c>
      <c r="N121" s="61" t="s">
        <v>2686</v>
      </c>
      <c r="O121" s="71">
        <v>4.5100000000000001E-2</v>
      </c>
      <c r="P121" s="64"/>
      <c r="Q121" s="69">
        <v>45667</v>
      </c>
      <c r="R121" s="70">
        <v>6840.2</v>
      </c>
      <c r="S121" s="70">
        <v>6664.92</v>
      </c>
      <c r="T121" s="70">
        <v>6920.34</v>
      </c>
      <c r="U121" s="70">
        <v>6550.78</v>
      </c>
      <c r="V121" s="61"/>
      <c r="W121" s="71">
        <v>2.2700000000000001E-2</v>
      </c>
      <c r="X121" s="64"/>
      <c r="Y121" s="64"/>
      <c r="Z121" s="69">
        <v>45667</v>
      </c>
      <c r="AA121" s="72">
        <v>355276</v>
      </c>
      <c r="AB121" s="72">
        <v>342851</v>
      </c>
      <c r="AC121" s="72">
        <v>385349</v>
      </c>
      <c r="AD121" s="72">
        <v>339059</v>
      </c>
      <c r="AE121" s="61"/>
      <c r="AF121" s="71">
        <v>3.6299999999999999E-2</v>
      </c>
      <c r="AG121" s="64"/>
      <c r="AH121" s="69">
        <v>45667</v>
      </c>
      <c r="AI121" s="72">
        <v>4002.28</v>
      </c>
      <c r="AJ121" s="72">
        <v>3858.84</v>
      </c>
      <c r="AK121" s="72">
        <v>4381.6000000000004</v>
      </c>
      <c r="AL121" s="72">
        <v>3819.51</v>
      </c>
      <c r="AM121" s="61"/>
      <c r="AN121" s="71">
        <v>3.73E-2</v>
      </c>
      <c r="AY121" s="60">
        <v>45992</v>
      </c>
      <c r="AZ121" s="61">
        <v>2025</v>
      </c>
      <c r="BA121" s="61">
        <v>12</v>
      </c>
      <c r="BB121" s="62">
        <v>104.1</v>
      </c>
      <c r="BC121" s="61">
        <v>104.19</v>
      </c>
      <c r="BD121" s="61">
        <v>103.98</v>
      </c>
      <c r="BE121" s="62">
        <v>1.17</v>
      </c>
      <c r="BF121" s="62">
        <v>0.56999999999999995</v>
      </c>
      <c r="BG121" s="62">
        <v>1.84</v>
      </c>
      <c r="BI121" s="3">
        <v>45992</v>
      </c>
      <c r="BJ121" s="4">
        <v>90.034999999999997</v>
      </c>
    </row>
    <row r="122" spans="1:62" x14ac:dyDescent="0.25">
      <c r="A122" s="65">
        <v>42545</v>
      </c>
      <c r="B122" s="66">
        <v>8088.6</v>
      </c>
      <c r="C122" s="66">
        <v>8029.1</v>
      </c>
      <c r="D122" s="66">
        <v>8100.7</v>
      </c>
      <c r="E122" s="66">
        <v>7927.05</v>
      </c>
      <c r="F122" s="67" t="s">
        <v>2565</v>
      </c>
      <c r="G122" s="68">
        <v>-2.1999999999999999E-2</v>
      </c>
      <c r="H122" s="64"/>
      <c r="I122" s="69">
        <v>45668</v>
      </c>
      <c r="J122" s="70">
        <v>26202.95</v>
      </c>
      <c r="K122" s="70">
        <v>25696.85</v>
      </c>
      <c r="L122" s="70">
        <v>26310.45</v>
      </c>
      <c r="M122" s="70">
        <v>25318.45</v>
      </c>
      <c r="N122" s="61" t="s">
        <v>2685</v>
      </c>
      <c r="O122" s="71">
        <v>1.8700000000000001E-2</v>
      </c>
      <c r="P122" s="64"/>
      <c r="Q122" s="69">
        <v>45668</v>
      </c>
      <c r="R122" s="70">
        <v>6849.09</v>
      </c>
      <c r="S122" s="70">
        <v>6882.32</v>
      </c>
      <c r="T122" s="70">
        <v>6882.32</v>
      </c>
      <c r="U122" s="70">
        <v>6521.92</v>
      </c>
      <c r="V122" s="61"/>
      <c r="W122" s="71">
        <v>1.2999999999999999E-3</v>
      </c>
      <c r="X122" s="64"/>
      <c r="Y122" s="64"/>
      <c r="Z122" s="69">
        <v>45668</v>
      </c>
      <c r="AA122" s="72">
        <v>378036</v>
      </c>
      <c r="AB122" s="72">
        <v>355243</v>
      </c>
      <c r="AC122" s="72">
        <v>378108</v>
      </c>
      <c r="AD122" s="72">
        <v>348564</v>
      </c>
      <c r="AE122" s="61"/>
      <c r="AF122" s="71">
        <v>6.4100000000000004E-2</v>
      </c>
      <c r="AG122" s="64"/>
      <c r="AH122" s="69">
        <v>45668</v>
      </c>
      <c r="AI122" s="72">
        <v>4230.63</v>
      </c>
      <c r="AJ122" s="72">
        <v>4002.28</v>
      </c>
      <c r="AK122" s="72">
        <v>4245.2</v>
      </c>
      <c r="AL122" s="72">
        <v>3928.66</v>
      </c>
      <c r="AM122" s="61"/>
      <c r="AN122" s="71">
        <v>5.7099999999999998E-2</v>
      </c>
      <c r="AY122" s="60">
        <v>46023</v>
      </c>
      <c r="AZ122" s="61">
        <v>2026</v>
      </c>
      <c r="BA122" s="61">
        <v>1</v>
      </c>
      <c r="BB122" s="62">
        <v>104.45</v>
      </c>
      <c r="BC122" s="61">
        <v>104.59</v>
      </c>
      <c r="BD122" s="61">
        <v>104.28</v>
      </c>
      <c r="BE122" s="62">
        <v>2.74</v>
      </c>
      <c r="BF122" s="62">
        <v>2.73</v>
      </c>
      <c r="BG122" s="62">
        <v>2.75</v>
      </c>
      <c r="BI122" s="3">
        <v>46023</v>
      </c>
      <c r="BJ122" s="4">
        <v>90.902500000000003</v>
      </c>
    </row>
    <row r="123" spans="1:62" x14ac:dyDescent="0.25">
      <c r="A123" s="65">
        <v>42548</v>
      </c>
      <c r="B123" s="66">
        <v>8094.7</v>
      </c>
      <c r="C123" s="66">
        <v>8039.35</v>
      </c>
      <c r="D123" s="66">
        <v>8120.65</v>
      </c>
      <c r="E123" s="66">
        <v>8039.35</v>
      </c>
      <c r="F123" s="67" t="s">
        <v>2564</v>
      </c>
      <c r="G123" s="68">
        <v>8.0000000000000004E-4</v>
      </c>
      <c r="H123" s="64"/>
      <c r="I123" s="69">
        <v>45669</v>
      </c>
      <c r="J123" s="70">
        <v>26129.599999999999</v>
      </c>
      <c r="K123" s="70">
        <v>26325.8</v>
      </c>
      <c r="L123" s="70">
        <v>26325.8</v>
      </c>
      <c r="M123" s="70">
        <v>25693.25</v>
      </c>
      <c r="N123" s="61" t="s">
        <v>2684</v>
      </c>
      <c r="O123" s="71">
        <v>-2.8E-3</v>
      </c>
      <c r="P123" s="64"/>
      <c r="Q123" s="69">
        <v>45669</v>
      </c>
      <c r="R123" s="70">
        <v>6845.5</v>
      </c>
      <c r="S123" s="70">
        <v>6812.3</v>
      </c>
      <c r="T123" s="70">
        <v>6945.77</v>
      </c>
      <c r="U123" s="70">
        <v>6720.43</v>
      </c>
      <c r="V123" s="61"/>
      <c r="W123" s="71">
        <v>-5.0000000000000001E-4</v>
      </c>
      <c r="X123" s="64"/>
      <c r="Y123" s="64"/>
      <c r="Z123" s="69">
        <v>45669</v>
      </c>
      <c r="AA123" s="72">
        <v>387802</v>
      </c>
      <c r="AB123" s="72">
        <v>377708</v>
      </c>
      <c r="AC123" s="72">
        <v>408581</v>
      </c>
      <c r="AD123" s="72">
        <v>374414</v>
      </c>
      <c r="AE123" s="61"/>
      <c r="AF123" s="71">
        <v>2.58E-2</v>
      </c>
      <c r="AG123" s="64"/>
      <c r="AH123" s="69">
        <v>45669</v>
      </c>
      <c r="AI123" s="72">
        <v>4315.09</v>
      </c>
      <c r="AJ123" s="72">
        <v>4223.93</v>
      </c>
      <c r="AK123" s="72">
        <v>4550.5</v>
      </c>
      <c r="AL123" s="72">
        <v>4163.01</v>
      </c>
      <c r="AM123" s="61"/>
      <c r="AN123" s="71">
        <v>0.02</v>
      </c>
      <c r="AY123" s="60">
        <v>46054</v>
      </c>
      <c r="AZ123" s="61">
        <v>2026</v>
      </c>
      <c r="BA123" s="61">
        <v>2</v>
      </c>
      <c r="BB123" s="62">
        <v>104.57</v>
      </c>
      <c r="BC123" s="61">
        <v>104.74</v>
      </c>
      <c r="BD123" s="61">
        <v>104.36</v>
      </c>
      <c r="BE123" s="62">
        <v>3.21</v>
      </c>
      <c r="BF123" s="62">
        <v>3.37</v>
      </c>
      <c r="BG123" s="62">
        <v>3.02</v>
      </c>
      <c r="BI123" s="3">
        <v>46054</v>
      </c>
      <c r="BJ123" s="4">
        <v>90.745800000000003</v>
      </c>
    </row>
    <row r="124" spans="1:62" x14ac:dyDescent="0.25">
      <c r="A124" s="65">
        <v>42549</v>
      </c>
      <c r="B124" s="66">
        <v>8127.85</v>
      </c>
      <c r="C124" s="66">
        <v>8096.05</v>
      </c>
      <c r="D124" s="66">
        <v>8146.35</v>
      </c>
      <c r="E124" s="66">
        <v>8086.85</v>
      </c>
      <c r="F124" s="67" t="s">
        <v>2563</v>
      </c>
      <c r="G124" s="68">
        <v>4.1000000000000003E-3</v>
      </c>
      <c r="H124" s="64"/>
      <c r="I124" s="69">
        <v>46023</v>
      </c>
      <c r="J124" s="70">
        <v>25320.65</v>
      </c>
      <c r="K124" s="70">
        <v>26173.3</v>
      </c>
      <c r="L124" s="70">
        <v>26373.200000000001</v>
      </c>
      <c r="M124" s="70">
        <v>24919.8</v>
      </c>
      <c r="N124" s="61" t="s">
        <v>2679</v>
      </c>
      <c r="O124" s="71">
        <v>-3.1E-2</v>
      </c>
      <c r="P124" s="64"/>
      <c r="Q124" s="69">
        <v>46023</v>
      </c>
      <c r="R124" s="70">
        <v>6939.03</v>
      </c>
      <c r="S124" s="70">
        <v>6878.11</v>
      </c>
      <c r="T124" s="70">
        <v>7002.28</v>
      </c>
      <c r="U124" s="70">
        <v>6789.05</v>
      </c>
      <c r="V124" s="61"/>
      <c r="W124" s="71">
        <v>1.37E-2</v>
      </c>
      <c r="X124" s="64"/>
      <c r="Y124" s="64"/>
      <c r="Z124" s="69">
        <v>46023</v>
      </c>
      <c r="AA124" s="72">
        <v>446123</v>
      </c>
      <c r="AB124" s="72">
        <v>388015</v>
      </c>
      <c r="AC124" s="72">
        <v>514799</v>
      </c>
      <c r="AD124" s="72">
        <v>387776</v>
      </c>
      <c r="AE124" s="61"/>
      <c r="AF124" s="71">
        <v>0.15040000000000001</v>
      </c>
      <c r="AG124" s="64"/>
      <c r="AH124" s="69">
        <v>46023</v>
      </c>
      <c r="AI124" s="72">
        <v>4865.3500000000004</v>
      </c>
      <c r="AJ124" s="72">
        <v>4333</v>
      </c>
      <c r="AK124" s="72">
        <v>5595.46</v>
      </c>
      <c r="AL124" s="72">
        <v>4310.01</v>
      </c>
      <c r="AM124" s="61"/>
      <c r="AN124" s="71">
        <v>0.1275</v>
      </c>
      <c r="AY124" s="60">
        <v>46082</v>
      </c>
      <c r="AZ124" s="61">
        <v>2026</v>
      </c>
      <c r="BA124" s="61">
        <v>3</v>
      </c>
      <c r="BB124" s="62">
        <v>104.84</v>
      </c>
      <c r="BC124" s="61">
        <v>105.02</v>
      </c>
      <c r="BD124" s="61">
        <v>104.62</v>
      </c>
      <c r="BE124" s="62">
        <v>3.4</v>
      </c>
      <c r="BF124" s="62">
        <v>3.63</v>
      </c>
      <c r="BG124" s="62">
        <v>3.11</v>
      </c>
      <c r="BI124" s="3">
        <v>46082</v>
      </c>
      <c r="BJ124" s="4">
        <v>92.818200000000004</v>
      </c>
    </row>
    <row r="125" spans="1:62" x14ac:dyDescent="0.25">
      <c r="A125" s="65">
        <v>42550</v>
      </c>
      <c r="B125" s="66">
        <v>8204</v>
      </c>
      <c r="C125" s="66">
        <v>8173.1</v>
      </c>
      <c r="D125" s="66">
        <v>8212.4</v>
      </c>
      <c r="E125" s="66">
        <v>8157.65</v>
      </c>
      <c r="F125" s="67" t="s">
        <v>2562</v>
      </c>
      <c r="G125" s="68">
        <v>9.4000000000000004E-3</v>
      </c>
      <c r="H125" s="64"/>
      <c r="I125" s="69">
        <v>46024</v>
      </c>
      <c r="J125" s="70">
        <v>25178.65</v>
      </c>
      <c r="K125" s="70">
        <v>25333.75</v>
      </c>
      <c r="L125" s="70">
        <v>26341.200000000001</v>
      </c>
      <c r="M125" s="70">
        <v>24571.75</v>
      </c>
      <c r="N125" s="61" t="s">
        <v>2683</v>
      </c>
      <c r="O125" s="71">
        <v>-5.5999999999999999E-3</v>
      </c>
      <c r="P125" s="64"/>
      <c r="Q125" s="69">
        <v>46024</v>
      </c>
      <c r="R125" s="70">
        <v>6878.88</v>
      </c>
      <c r="S125" s="70">
        <v>6916.64</v>
      </c>
      <c r="T125" s="70">
        <v>6993.48</v>
      </c>
      <c r="U125" s="70">
        <v>6775.5</v>
      </c>
      <c r="V125" s="61"/>
      <c r="W125" s="71">
        <v>-8.6999999999999994E-3</v>
      </c>
      <c r="X125" s="64"/>
      <c r="Y125" s="64"/>
      <c r="Z125" s="69">
        <v>46024</v>
      </c>
      <c r="AA125" s="72">
        <v>480690</v>
      </c>
      <c r="AB125" s="72">
        <v>439975</v>
      </c>
      <c r="AC125" s="72">
        <v>480841</v>
      </c>
      <c r="AD125" s="72">
        <v>403528</v>
      </c>
      <c r="AE125" s="61"/>
      <c r="AF125" s="71">
        <v>7.7499999999999999E-2</v>
      </c>
      <c r="AG125" s="64"/>
      <c r="AH125" s="69">
        <v>46024</v>
      </c>
      <c r="AI125" s="72">
        <v>5277.9</v>
      </c>
      <c r="AJ125" s="72">
        <v>4799.72</v>
      </c>
      <c r="AK125" s="72">
        <v>5279.56</v>
      </c>
      <c r="AL125" s="72">
        <v>4404.12</v>
      </c>
      <c r="AM125" s="61"/>
      <c r="AN125" s="71">
        <v>8.48E-2</v>
      </c>
      <c r="AY125" s="60">
        <v>46113</v>
      </c>
      <c r="AZ125" s="61">
        <v>2026</v>
      </c>
      <c r="BA125" s="61">
        <v>4</v>
      </c>
      <c r="BB125" s="62">
        <v>105.12</v>
      </c>
      <c r="BC125" s="61">
        <v>105.28</v>
      </c>
      <c r="BD125" s="61">
        <v>104.92</v>
      </c>
      <c r="BE125" s="62">
        <v>3.48</v>
      </c>
      <c r="BF125" s="62">
        <v>3.74</v>
      </c>
      <c r="BG125" s="62">
        <v>3.16</v>
      </c>
      <c r="BI125" s="3">
        <v>46113</v>
      </c>
      <c r="BJ125" s="4">
        <v>93.480500000000006</v>
      </c>
    </row>
    <row r="126" spans="1:62" x14ac:dyDescent="0.25">
      <c r="A126" s="65">
        <v>42551</v>
      </c>
      <c r="B126" s="66">
        <v>8287.75</v>
      </c>
      <c r="C126" s="66">
        <v>8260.25</v>
      </c>
      <c r="D126" s="66">
        <v>8308.15</v>
      </c>
      <c r="E126" s="66">
        <v>8242.1</v>
      </c>
      <c r="F126" s="67" t="s">
        <v>2561</v>
      </c>
      <c r="G126" s="68">
        <v>1.0200000000000001E-2</v>
      </c>
      <c r="H126" s="64"/>
      <c r="I126" s="69">
        <v>46025</v>
      </c>
      <c r="J126" s="70">
        <v>22331.4</v>
      </c>
      <c r="K126" s="70">
        <v>24659.25</v>
      </c>
      <c r="L126" s="70">
        <v>24989.35</v>
      </c>
      <c r="M126" s="70">
        <v>22283.85</v>
      </c>
      <c r="N126" s="61" t="s">
        <v>2682</v>
      </c>
      <c r="O126" s="71">
        <v>-0.11310000000000001</v>
      </c>
      <c r="P126" s="64"/>
      <c r="Q126" s="69">
        <v>46025</v>
      </c>
      <c r="R126" s="70">
        <v>6528.52</v>
      </c>
      <c r="S126" s="70">
        <v>6824.36</v>
      </c>
      <c r="T126" s="70">
        <v>6901.01</v>
      </c>
      <c r="U126" s="70">
        <v>6316.91</v>
      </c>
      <c r="V126" s="61"/>
      <c r="W126" s="71">
        <v>-5.0900000000000001E-2</v>
      </c>
      <c r="X126" s="64"/>
      <c r="Y126" s="64"/>
      <c r="Z126" s="69">
        <v>46025</v>
      </c>
      <c r="AA126" s="72">
        <v>436499</v>
      </c>
      <c r="AB126" s="72">
        <v>480717</v>
      </c>
      <c r="AC126" s="72">
        <v>496382</v>
      </c>
      <c r="AD126" s="72">
        <v>396844</v>
      </c>
      <c r="AE126" s="61"/>
      <c r="AF126" s="71">
        <v>-9.1899999999999996E-2</v>
      </c>
      <c r="AG126" s="64"/>
      <c r="AH126" s="69">
        <v>46025</v>
      </c>
      <c r="AI126" s="72">
        <v>4672.01</v>
      </c>
      <c r="AJ126" s="72">
        <v>5376.69</v>
      </c>
      <c r="AK126" s="72">
        <v>5419.25</v>
      </c>
      <c r="AL126" s="72">
        <v>4098.87</v>
      </c>
      <c r="AM126" s="61"/>
      <c r="AN126" s="71">
        <v>-0.1148</v>
      </c>
      <c r="AY126" s="60">
        <v>46143</v>
      </c>
      <c r="AZ126" s="61">
        <v>2026</v>
      </c>
      <c r="BA126" s="61">
        <v>5</v>
      </c>
      <c r="BB126" s="62">
        <v>105.91</v>
      </c>
      <c r="BC126" s="61">
        <v>106.11</v>
      </c>
      <c r="BD126" s="61">
        <v>105.66</v>
      </c>
      <c r="BE126" s="62">
        <v>3.93</v>
      </c>
      <c r="BF126" s="62">
        <v>4.25</v>
      </c>
      <c r="BG126" s="62">
        <v>3.53</v>
      </c>
      <c r="BI126" s="3">
        <v>46143</v>
      </c>
      <c r="BJ126" s="4">
        <v>95.533500000000004</v>
      </c>
    </row>
    <row r="127" spans="1:62" x14ac:dyDescent="0.25">
      <c r="A127" s="65">
        <v>42552</v>
      </c>
      <c r="B127" s="66">
        <v>8328.35</v>
      </c>
      <c r="C127" s="66">
        <v>8313.0499999999993</v>
      </c>
      <c r="D127" s="66">
        <v>8356.75</v>
      </c>
      <c r="E127" s="66">
        <v>8308.65</v>
      </c>
      <c r="F127" s="67" t="s">
        <v>2560</v>
      </c>
      <c r="G127" s="68">
        <v>4.8999999999999998E-3</v>
      </c>
      <c r="H127" s="64"/>
      <c r="I127" s="69">
        <v>46026</v>
      </c>
      <c r="J127" s="70">
        <v>23997.55</v>
      </c>
      <c r="K127" s="70">
        <v>22899</v>
      </c>
      <c r="L127" s="70">
        <v>24601.7</v>
      </c>
      <c r="M127" s="70">
        <v>22182.55</v>
      </c>
      <c r="N127" s="61" t="s">
        <v>2681</v>
      </c>
      <c r="O127" s="71">
        <v>7.46E-2</v>
      </c>
      <c r="P127" s="64"/>
      <c r="Q127" s="69">
        <v>46026</v>
      </c>
      <c r="R127" s="70">
        <v>7209.01</v>
      </c>
      <c r="S127" s="70">
        <v>6556.56</v>
      </c>
      <c r="T127" s="70">
        <v>7219.83</v>
      </c>
      <c r="U127" s="70">
        <v>6474.94</v>
      </c>
      <c r="V127" s="61"/>
      <c r="W127" s="71">
        <v>0.1042</v>
      </c>
      <c r="X127" s="64"/>
      <c r="Y127" s="64"/>
      <c r="Z127" s="69">
        <v>46026</v>
      </c>
      <c r="AA127" s="72">
        <v>438751</v>
      </c>
      <c r="AB127" s="72">
        <v>436487</v>
      </c>
      <c r="AC127" s="72">
        <v>453615</v>
      </c>
      <c r="AD127" s="72">
        <v>424427</v>
      </c>
      <c r="AE127" s="61"/>
      <c r="AF127" s="71">
        <v>5.1999999999999998E-3</v>
      </c>
      <c r="AG127" s="64"/>
      <c r="AH127" s="69">
        <v>46026</v>
      </c>
      <c r="AI127" s="72">
        <v>4622.59</v>
      </c>
      <c r="AJ127" s="72">
        <v>4672.0200000000004</v>
      </c>
      <c r="AK127" s="72">
        <v>4889.7</v>
      </c>
      <c r="AL127" s="72">
        <v>4509.96</v>
      </c>
      <c r="AM127" s="61"/>
      <c r="AN127" s="71">
        <v>-1.06E-2</v>
      </c>
      <c r="AY127" s="60">
        <v>46174</v>
      </c>
      <c r="AZ127" s="61">
        <v>2026</v>
      </c>
      <c r="BA127" s="61">
        <v>6</v>
      </c>
      <c r="BB127" s="62">
        <v>107</v>
      </c>
      <c r="BC127" s="61">
        <v>107.24</v>
      </c>
      <c r="BD127" s="61">
        <v>106.69</v>
      </c>
      <c r="BE127" s="62">
        <v>4.38</v>
      </c>
      <c r="BF127" s="62">
        <v>4.74</v>
      </c>
      <c r="BG127" s="62">
        <v>3.93</v>
      </c>
      <c r="BI127" s="3">
        <v>46174</v>
      </c>
      <c r="BJ127" s="4">
        <v>94.96</v>
      </c>
    </row>
    <row r="128" spans="1:62" x14ac:dyDescent="0.25">
      <c r="A128" s="65">
        <v>42555</v>
      </c>
      <c r="B128" s="66">
        <v>8370.7000000000007</v>
      </c>
      <c r="C128" s="66">
        <v>8376.75</v>
      </c>
      <c r="D128" s="66">
        <v>8398.4500000000007</v>
      </c>
      <c r="E128" s="66">
        <v>8364.7000000000007</v>
      </c>
      <c r="F128" s="67" t="s">
        <v>2559</v>
      </c>
      <c r="G128" s="68">
        <v>5.1000000000000004E-3</v>
      </c>
      <c r="H128" s="64"/>
      <c r="I128" s="69">
        <v>46027</v>
      </c>
      <c r="J128" s="70">
        <v>23547.75</v>
      </c>
      <c r="K128" s="70">
        <v>24063.55</v>
      </c>
      <c r="L128" s="70">
        <v>24482.1</v>
      </c>
      <c r="M128" s="70">
        <v>23262.55</v>
      </c>
      <c r="N128" s="61" t="s">
        <v>2680</v>
      </c>
      <c r="O128" s="71">
        <v>-1.8700000000000001E-2</v>
      </c>
      <c r="P128" s="64"/>
      <c r="Q128" s="69">
        <v>46027</v>
      </c>
      <c r="R128" s="70">
        <v>7580.06</v>
      </c>
      <c r="S128" s="70">
        <v>7234.54</v>
      </c>
      <c r="T128" s="70">
        <v>7599.38</v>
      </c>
      <c r="U128" s="70">
        <v>7174.12</v>
      </c>
      <c r="V128" s="61"/>
      <c r="W128" s="71">
        <v>5.1499999999999997E-2</v>
      </c>
      <c r="X128" s="64"/>
      <c r="Y128" s="64"/>
      <c r="Z128" s="69">
        <v>46027</v>
      </c>
      <c r="AA128" s="72">
        <v>431263</v>
      </c>
      <c r="AB128" s="72">
        <v>438722</v>
      </c>
      <c r="AC128" s="72">
        <v>455018</v>
      </c>
      <c r="AD128" s="72">
        <v>417866</v>
      </c>
      <c r="AE128" s="61"/>
      <c r="AF128" s="71">
        <v>-1.7100000000000001E-2</v>
      </c>
      <c r="AG128" s="64"/>
      <c r="AH128" s="69">
        <v>46027</v>
      </c>
      <c r="AI128" s="72">
        <v>4539.2700000000004</v>
      </c>
      <c r="AJ128" s="72">
        <v>4626.45</v>
      </c>
      <c r="AK128" s="72">
        <v>4773.83</v>
      </c>
      <c r="AL128" s="72">
        <v>4366.41</v>
      </c>
      <c r="AM128" s="61"/>
      <c r="AN128" s="71">
        <v>-1.7999999999999999E-2</v>
      </c>
      <c r="AY128" s="60">
        <v>46204</v>
      </c>
      <c r="AZ128" s="61">
        <v>2026</v>
      </c>
      <c r="BA128" s="61">
        <v>7</v>
      </c>
      <c r="BB128" s="62">
        <v>107.95</v>
      </c>
      <c r="BC128" s="61">
        <v>108.34</v>
      </c>
      <c r="BD128" s="61">
        <v>107.45</v>
      </c>
      <c r="BE128" s="62">
        <v>4.45</v>
      </c>
      <c r="BF128" s="62">
        <v>4.84</v>
      </c>
      <c r="BG128" s="62">
        <v>3.96</v>
      </c>
      <c r="BI128" s="3">
        <v>46204</v>
      </c>
      <c r="BJ128" s="4">
        <v>95.857299999999995</v>
      </c>
    </row>
    <row r="129" spans="1:62" x14ac:dyDescent="0.25">
      <c r="A129" s="65">
        <v>42556</v>
      </c>
      <c r="B129" s="66">
        <v>8335.9500000000007</v>
      </c>
      <c r="C129" s="66">
        <v>8379.2999999999993</v>
      </c>
      <c r="D129" s="66">
        <v>8381.4500000000007</v>
      </c>
      <c r="E129" s="66">
        <v>8319.9500000000007</v>
      </c>
      <c r="F129" s="67" t="s">
        <v>2558</v>
      </c>
      <c r="G129" s="68">
        <v>-4.1999999999999997E-3</v>
      </c>
      <c r="H129" s="64"/>
      <c r="I129" s="69">
        <v>46028</v>
      </c>
      <c r="J129" s="70">
        <v>23865.75</v>
      </c>
      <c r="K129" s="70">
        <v>23654.5</v>
      </c>
      <c r="L129" s="70">
        <v>24261.599999999999</v>
      </c>
      <c r="M129" s="70">
        <v>23070.15</v>
      </c>
      <c r="N129" s="61" t="s">
        <v>2679</v>
      </c>
      <c r="O129" s="71">
        <v>1.35E-2</v>
      </c>
      <c r="P129" s="64"/>
      <c r="Q129" s="69">
        <v>46028</v>
      </c>
      <c r="R129" s="70">
        <v>7499.36</v>
      </c>
      <c r="S129" s="70">
        <v>7582.29</v>
      </c>
      <c r="T129" s="70">
        <v>7620.9</v>
      </c>
      <c r="U129" s="70">
        <v>7237.85</v>
      </c>
      <c r="V129" s="61"/>
      <c r="W129" s="71">
        <v>-1.06E-2</v>
      </c>
      <c r="X129" s="64"/>
      <c r="Y129" s="64"/>
      <c r="Z129" s="69">
        <v>46028</v>
      </c>
      <c r="AA129" s="72">
        <v>379383</v>
      </c>
      <c r="AB129" s="72">
        <v>431285</v>
      </c>
      <c r="AC129" s="72">
        <v>432544</v>
      </c>
      <c r="AD129" s="72">
        <v>372907</v>
      </c>
      <c r="AE129" s="61"/>
      <c r="AF129" s="71">
        <v>-0.1203</v>
      </c>
      <c r="AG129" s="64"/>
      <c r="AH129" s="69">
        <v>46028</v>
      </c>
      <c r="AI129" s="72">
        <v>4008.48</v>
      </c>
      <c r="AJ129" s="72">
        <v>4521.91</v>
      </c>
      <c r="AK129" s="72">
        <v>4546.4399999999996</v>
      </c>
      <c r="AL129" s="72">
        <v>3944.23</v>
      </c>
      <c r="AM129" s="61"/>
      <c r="AN129" s="71">
        <v>-0.1169</v>
      </c>
      <c r="AY129" s="60">
        <v>46235</v>
      </c>
      <c r="AZ129" s="61">
        <v>2026</v>
      </c>
      <c r="BA129" s="61">
        <v>8</v>
      </c>
      <c r="BB129" s="62">
        <v>108.74</v>
      </c>
      <c r="BC129" s="61">
        <v>109.27</v>
      </c>
      <c r="BD129" s="61">
        <v>108.07</v>
      </c>
      <c r="BE129" s="62">
        <v>4.82</v>
      </c>
      <c r="BF129" s="62">
        <v>5.23</v>
      </c>
      <c r="BG129" s="62">
        <v>4.3099999999999996</v>
      </c>
      <c r="BI129" s="3">
        <v>46235</v>
      </c>
      <c r="BJ129" s="4">
        <v>95.444299999999998</v>
      </c>
    </row>
    <row r="130" spans="1:62" x14ac:dyDescent="0.25">
      <c r="A130" s="65">
        <v>42558</v>
      </c>
      <c r="B130" s="66">
        <v>8337.9</v>
      </c>
      <c r="C130" s="66">
        <v>8342</v>
      </c>
      <c r="D130" s="66">
        <v>8361.9500000000007</v>
      </c>
      <c r="E130" s="66">
        <v>8317.7000000000007</v>
      </c>
      <c r="F130" s="67" t="s">
        <v>2557</v>
      </c>
      <c r="G130" s="68">
        <v>2.0000000000000001E-4</v>
      </c>
      <c r="H130" s="64"/>
      <c r="I130" s="69">
        <v>46029</v>
      </c>
      <c r="J130" s="70">
        <v>24383.599999999999</v>
      </c>
      <c r="K130" s="70">
        <v>23897.65</v>
      </c>
      <c r="L130" s="70">
        <v>24530.9</v>
      </c>
      <c r="M130" s="70">
        <v>23606.3</v>
      </c>
      <c r="N130" s="61" t="s">
        <v>2678</v>
      </c>
      <c r="O130" s="71">
        <v>2.1700000000000001E-2</v>
      </c>
      <c r="P130" s="64"/>
      <c r="Q130" s="69">
        <v>46029</v>
      </c>
      <c r="R130" s="70">
        <v>7489.72</v>
      </c>
      <c r="S130" s="70">
        <v>7478.84</v>
      </c>
      <c r="T130" s="70">
        <v>7581.5</v>
      </c>
      <c r="U130" s="70">
        <v>7313.92</v>
      </c>
      <c r="V130" s="61"/>
      <c r="W130" s="71">
        <v>-1.2999999999999999E-3</v>
      </c>
      <c r="X130" s="64"/>
      <c r="Y130" s="64"/>
      <c r="Z130" s="69">
        <v>46029</v>
      </c>
      <c r="AA130" s="72">
        <v>385566</v>
      </c>
      <c r="AB130" s="72">
        <v>379302</v>
      </c>
      <c r="AC130" s="72">
        <v>402352</v>
      </c>
      <c r="AD130" s="72">
        <v>375161</v>
      </c>
      <c r="AE130" s="61"/>
      <c r="AF130" s="71">
        <v>1.6299999999999999E-2</v>
      </c>
      <c r="AG130" s="64"/>
      <c r="AH130" s="69">
        <v>46029</v>
      </c>
      <c r="AI130" s="72">
        <v>4042.67</v>
      </c>
      <c r="AJ130" s="72">
        <v>4008.49</v>
      </c>
      <c r="AK130" s="72">
        <v>4202.67</v>
      </c>
      <c r="AL130" s="72">
        <v>3959.69</v>
      </c>
      <c r="AM130" s="61"/>
      <c r="AN130" s="71">
        <v>8.5000000000000006E-3</v>
      </c>
      <c r="AY130" s="60">
        <v>46266</v>
      </c>
      <c r="AZ130" s="61">
        <v>2026</v>
      </c>
      <c r="BA130" s="61">
        <v>9</v>
      </c>
      <c r="BB130" s="62">
        <v>114.09000799999998</v>
      </c>
      <c r="BC130" s="61">
        <v>115.09409099999999</v>
      </c>
      <c r="BD130" s="61">
        <v>112.835887</v>
      </c>
      <c r="BE130" s="82">
        <v>4.9199999999999902</v>
      </c>
      <c r="BF130" s="82">
        <v>5.32</v>
      </c>
      <c r="BG130" s="82">
        <v>4.41</v>
      </c>
      <c r="BI130" s="3">
        <v>46266</v>
      </c>
      <c r="BJ130" s="4">
        <v>95.5124</v>
      </c>
    </row>
    <row r="131" spans="1:62" x14ac:dyDescent="0.25">
      <c r="A131" s="65">
        <v>42559</v>
      </c>
      <c r="B131" s="66">
        <v>8323.2000000000007</v>
      </c>
      <c r="C131" s="66">
        <v>8350</v>
      </c>
      <c r="D131" s="66">
        <v>8353.2999999999993</v>
      </c>
      <c r="E131" s="66">
        <v>8287.5499999999993</v>
      </c>
      <c r="F131" s="67" t="s">
        <v>2556</v>
      </c>
      <c r="G131" s="68">
        <v>-1.8E-3</v>
      </c>
      <c r="H131" s="64"/>
      <c r="I131" s="69">
        <v>46030</v>
      </c>
      <c r="J131" s="70">
        <v>24080.400000000001</v>
      </c>
      <c r="K131" s="70">
        <v>24572.7</v>
      </c>
      <c r="L131" s="70">
        <v>24774.3</v>
      </c>
      <c r="M131" s="70">
        <v>23993.599999999999</v>
      </c>
      <c r="N131" s="61" t="s">
        <v>2677</v>
      </c>
      <c r="O131" s="71">
        <v>-1.24E-2</v>
      </c>
      <c r="P131" s="64"/>
      <c r="Q131" s="69">
        <v>46030</v>
      </c>
      <c r="R131" s="70">
        <v>7686.14</v>
      </c>
      <c r="S131" s="70">
        <v>7504.78</v>
      </c>
      <c r="T131" s="70">
        <v>7816.7</v>
      </c>
      <c r="U131" s="70">
        <v>7504.78</v>
      </c>
      <c r="V131" s="61"/>
      <c r="W131" s="71">
        <v>2.6200000000000001E-2</v>
      </c>
      <c r="X131" s="64"/>
      <c r="Y131" s="64"/>
      <c r="Z131" s="69">
        <v>46030</v>
      </c>
      <c r="AA131" s="72">
        <v>423300</v>
      </c>
      <c r="AB131" s="72">
        <v>385618</v>
      </c>
      <c r="AC131" s="72">
        <v>449801</v>
      </c>
      <c r="AD131" s="72">
        <v>383199</v>
      </c>
      <c r="AE131" s="61"/>
      <c r="AF131" s="71">
        <v>9.7900000000000001E-2</v>
      </c>
      <c r="AG131" s="64"/>
      <c r="AH131" s="69">
        <v>46030</v>
      </c>
      <c r="AI131" s="72">
        <v>4448.92</v>
      </c>
      <c r="AJ131" s="72">
        <v>4077.11</v>
      </c>
      <c r="AK131" s="72">
        <v>4697.66</v>
      </c>
      <c r="AL131" s="72">
        <v>4019.19</v>
      </c>
      <c r="AM131" s="61"/>
      <c r="AN131" s="71">
        <v>0.10050000000000001</v>
      </c>
    </row>
    <row r="132" spans="1:62" x14ac:dyDescent="0.25">
      <c r="A132" s="65">
        <v>42562</v>
      </c>
      <c r="B132" s="66">
        <v>8467.9</v>
      </c>
      <c r="C132" s="66">
        <v>8413.35</v>
      </c>
      <c r="D132" s="66">
        <v>8475.25</v>
      </c>
      <c r="E132" s="66">
        <v>8407.0499999999993</v>
      </c>
      <c r="F132" s="67" t="s">
        <v>2555</v>
      </c>
      <c r="G132" s="68">
        <v>1.7399999999999999E-2</v>
      </c>
      <c r="H132" s="64"/>
      <c r="I132" s="69">
        <v>46031</v>
      </c>
      <c r="J132" s="70">
        <v>22620.45</v>
      </c>
      <c r="K132" s="70">
        <v>24077.55</v>
      </c>
      <c r="L132" s="70">
        <v>24143.15</v>
      </c>
      <c r="M132" s="70">
        <v>22569.65</v>
      </c>
      <c r="N132" s="61" t="s">
        <v>2676</v>
      </c>
      <c r="O132" s="71">
        <v>-6.0600000000000001E-2</v>
      </c>
      <c r="P132" s="64"/>
      <c r="Q132" s="69">
        <v>46031</v>
      </c>
      <c r="R132" s="70">
        <v>7651.54</v>
      </c>
      <c r="S132" s="70">
        <v>7635.47</v>
      </c>
      <c r="T132" s="70">
        <v>7782.19</v>
      </c>
      <c r="U132" s="70">
        <v>7507.77</v>
      </c>
      <c r="V132" s="61"/>
      <c r="W132" s="71">
        <v>-4.4999999999999997E-3</v>
      </c>
      <c r="X132" s="64"/>
      <c r="Y132" s="64"/>
      <c r="Z132" s="69">
        <v>46031</v>
      </c>
      <c r="AA132" s="72">
        <v>399043</v>
      </c>
      <c r="AB132" s="72">
        <v>423214</v>
      </c>
      <c r="AC132" s="72">
        <v>426244</v>
      </c>
      <c r="AD132" s="72">
        <v>394600</v>
      </c>
      <c r="AE132" s="61"/>
      <c r="AF132" s="71">
        <v>-5.7299999999999997E-2</v>
      </c>
      <c r="AG132" s="64"/>
      <c r="AH132" s="69">
        <v>46031</v>
      </c>
      <c r="AI132" s="72">
        <v>4157.34</v>
      </c>
      <c r="AJ132" s="72">
        <v>4449.8999999999996</v>
      </c>
      <c r="AK132" s="72">
        <v>4511</v>
      </c>
      <c r="AL132" s="72">
        <v>4110.95</v>
      </c>
      <c r="AM132" s="61"/>
      <c r="AN132" s="71">
        <v>-6.5500000000000003E-2</v>
      </c>
    </row>
    <row r="133" spans="1:62" x14ac:dyDescent="0.25">
      <c r="A133" s="65">
        <v>42563</v>
      </c>
      <c r="B133" s="66">
        <v>8521.0499999999993</v>
      </c>
      <c r="C133" s="66">
        <v>8502.6</v>
      </c>
      <c r="D133" s="66">
        <v>8526.6</v>
      </c>
      <c r="E133" s="66">
        <v>8479.2000000000007</v>
      </c>
      <c r="F133" s="67" t="s">
        <v>2554</v>
      </c>
      <c r="G133" s="68">
        <v>6.3E-3</v>
      </c>
      <c r="H133" s="64"/>
    </row>
    <row r="134" spans="1:62" x14ac:dyDescent="0.25">
      <c r="A134" s="65">
        <v>42564</v>
      </c>
      <c r="B134" s="66">
        <v>8519.5</v>
      </c>
      <c r="C134" s="66">
        <v>8540.4500000000007</v>
      </c>
      <c r="D134" s="66">
        <v>8550.25</v>
      </c>
      <c r="E134" s="66">
        <v>8493.5499999999993</v>
      </c>
      <c r="F134" s="67" t="s">
        <v>2553</v>
      </c>
      <c r="G134" s="68">
        <v>-2.0000000000000001E-4</v>
      </c>
      <c r="H134" s="64"/>
    </row>
    <row r="135" spans="1:62" x14ac:dyDescent="0.25">
      <c r="A135" s="65">
        <v>42565</v>
      </c>
      <c r="B135" s="66">
        <v>8565</v>
      </c>
      <c r="C135" s="66">
        <v>8515.75</v>
      </c>
      <c r="D135" s="66">
        <v>8571.4</v>
      </c>
      <c r="E135" s="66">
        <v>8500.7000000000007</v>
      </c>
      <c r="F135" s="67" t="s">
        <v>2552</v>
      </c>
      <c r="G135" s="68">
        <v>5.3E-3</v>
      </c>
      <c r="H135" s="64"/>
    </row>
    <row r="136" spans="1:62" x14ac:dyDescent="0.25">
      <c r="A136" s="65">
        <v>42566</v>
      </c>
      <c r="B136" s="66">
        <v>8541.4</v>
      </c>
      <c r="C136" s="66">
        <v>8565.4500000000007</v>
      </c>
      <c r="D136" s="66">
        <v>8594.7999999999993</v>
      </c>
      <c r="E136" s="66">
        <v>8510.0499999999993</v>
      </c>
      <c r="F136" s="67" t="s">
        <v>1109</v>
      </c>
      <c r="G136" s="68">
        <v>-2.8E-3</v>
      </c>
      <c r="H136" s="64"/>
    </row>
    <row r="137" spans="1:62" x14ac:dyDescent="0.25">
      <c r="A137" s="65">
        <v>42569</v>
      </c>
      <c r="B137" s="66">
        <v>8508.7000000000007</v>
      </c>
      <c r="C137" s="66">
        <v>8564.0499999999993</v>
      </c>
      <c r="D137" s="66">
        <v>8587.1</v>
      </c>
      <c r="E137" s="66">
        <v>8494.35</v>
      </c>
      <c r="F137" s="67" t="s">
        <v>2551</v>
      </c>
      <c r="G137" s="68">
        <v>-3.8E-3</v>
      </c>
      <c r="H137" s="64"/>
    </row>
    <row r="138" spans="1:62" x14ac:dyDescent="0.25">
      <c r="A138" s="65">
        <v>42570</v>
      </c>
      <c r="B138" s="66">
        <v>8528.5499999999993</v>
      </c>
      <c r="C138" s="66">
        <v>8514.2999999999993</v>
      </c>
      <c r="D138" s="66">
        <v>8540.0499999999993</v>
      </c>
      <c r="E138" s="66">
        <v>8476.7000000000007</v>
      </c>
      <c r="F138" s="67" t="s">
        <v>2550</v>
      </c>
      <c r="G138" s="68">
        <v>2.3E-3</v>
      </c>
      <c r="H138" s="64"/>
    </row>
    <row r="139" spans="1:62" x14ac:dyDescent="0.25">
      <c r="A139" s="65">
        <v>42571</v>
      </c>
      <c r="B139" s="66">
        <v>8565.85</v>
      </c>
      <c r="C139" s="66">
        <v>8515.4500000000007</v>
      </c>
      <c r="D139" s="66">
        <v>8569.9</v>
      </c>
      <c r="E139" s="66">
        <v>8512.5499999999993</v>
      </c>
      <c r="F139" s="67" t="s">
        <v>2549</v>
      </c>
      <c r="G139" s="68">
        <v>4.4000000000000003E-3</v>
      </c>
      <c r="H139" s="64"/>
    </row>
    <row r="140" spans="1:62" x14ac:dyDescent="0.25">
      <c r="A140" s="65">
        <v>42572</v>
      </c>
      <c r="B140" s="66">
        <v>8510.1</v>
      </c>
      <c r="C140" s="66">
        <v>8582.7000000000007</v>
      </c>
      <c r="D140" s="66">
        <v>8585.25</v>
      </c>
      <c r="E140" s="66">
        <v>8503.4500000000007</v>
      </c>
      <c r="F140" s="67" t="s">
        <v>2548</v>
      </c>
      <c r="G140" s="68">
        <v>-6.4999999999999997E-3</v>
      </c>
      <c r="H140" s="64"/>
    </row>
    <row r="141" spans="1:62" x14ac:dyDescent="0.25">
      <c r="A141" s="65">
        <v>42573</v>
      </c>
      <c r="B141" s="66">
        <v>8541.2000000000007</v>
      </c>
      <c r="C141" s="66">
        <v>8519.65</v>
      </c>
      <c r="D141" s="66">
        <v>8548.9500000000007</v>
      </c>
      <c r="E141" s="66">
        <v>8489.7999999999993</v>
      </c>
      <c r="F141" s="67" t="s">
        <v>2547</v>
      </c>
      <c r="G141" s="68">
        <v>3.7000000000000002E-3</v>
      </c>
      <c r="H141" s="64"/>
    </row>
    <row r="142" spans="1:62" x14ac:dyDescent="0.25">
      <c r="A142" s="65">
        <v>42576</v>
      </c>
      <c r="B142" s="66">
        <v>8635.65</v>
      </c>
      <c r="C142" s="66">
        <v>8519.9500000000007</v>
      </c>
      <c r="D142" s="66">
        <v>8641.15</v>
      </c>
      <c r="E142" s="66">
        <v>8517.2000000000007</v>
      </c>
      <c r="F142" s="67" t="s">
        <v>2546</v>
      </c>
      <c r="G142" s="68">
        <v>1.11E-2</v>
      </c>
      <c r="H142" s="64"/>
    </row>
    <row r="143" spans="1:62" x14ac:dyDescent="0.25">
      <c r="A143" s="65">
        <v>42577</v>
      </c>
      <c r="B143" s="66">
        <v>8590.65</v>
      </c>
      <c r="C143" s="66">
        <v>8633.75</v>
      </c>
      <c r="D143" s="66">
        <v>8644.9</v>
      </c>
      <c r="E143" s="66">
        <v>8577.15</v>
      </c>
      <c r="F143" s="67" t="s">
        <v>2545</v>
      </c>
      <c r="G143" s="68">
        <v>-5.1999999999999998E-3</v>
      </c>
      <c r="H143" s="64"/>
    </row>
    <row r="144" spans="1:62" x14ac:dyDescent="0.25">
      <c r="A144" s="65">
        <v>42578</v>
      </c>
      <c r="B144" s="66">
        <v>8615.7999999999993</v>
      </c>
      <c r="C144" s="66">
        <v>8599.4</v>
      </c>
      <c r="D144" s="66">
        <v>8665</v>
      </c>
      <c r="E144" s="66">
        <v>8572.0499999999993</v>
      </c>
      <c r="F144" s="67" t="s">
        <v>2544</v>
      </c>
      <c r="G144" s="68">
        <v>2.8999999999999998E-3</v>
      </c>
      <c r="H144" s="64"/>
    </row>
    <row r="145" spans="1:8" x14ac:dyDescent="0.25">
      <c r="A145" s="65">
        <v>42579</v>
      </c>
      <c r="B145" s="66">
        <v>8666.2999999999993</v>
      </c>
      <c r="C145" s="66">
        <v>8636.9500000000007</v>
      </c>
      <c r="D145" s="66">
        <v>8674.7000000000007</v>
      </c>
      <c r="E145" s="66">
        <v>8625.25</v>
      </c>
      <c r="F145" s="67" t="s">
        <v>2543</v>
      </c>
      <c r="G145" s="68">
        <v>5.8999999999999999E-3</v>
      </c>
      <c r="H145" s="64"/>
    </row>
    <row r="146" spans="1:8" x14ac:dyDescent="0.25">
      <c r="A146" s="65">
        <v>42580</v>
      </c>
      <c r="B146" s="66">
        <v>8638.5</v>
      </c>
      <c r="C146" s="66">
        <v>8668.2999999999993</v>
      </c>
      <c r="D146" s="66">
        <v>8670.35</v>
      </c>
      <c r="E146" s="66">
        <v>8631.15</v>
      </c>
      <c r="F146" s="67" t="s">
        <v>2542</v>
      </c>
      <c r="G146" s="68">
        <v>-3.2000000000000002E-3</v>
      </c>
      <c r="H146" s="64"/>
    </row>
    <row r="147" spans="1:8" x14ac:dyDescent="0.25">
      <c r="A147" s="65">
        <v>42583</v>
      </c>
      <c r="B147" s="66">
        <v>8636.5499999999993</v>
      </c>
      <c r="C147" s="66">
        <v>8654.2999999999993</v>
      </c>
      <c r="D147" s="66">
        <v>8711.2999999999993</v>
      </c>
      <c r="E147" s="66">
        <v>8590.5</v>
      </c>
      <c r="F147" s="67" t="s">
        <v>2541</v>
      </c>
      <c r="G147" s="68">
        <v>-2.0000000000000001E-4</v>
      </c>
      <c r="H147" s="64"/>
    </row>
    <row r="148" spans="1:8" x14ac:dyDescent="0.25">
      <c r="A148" s="65">
        <v>42584</v>
      </c>
      <c r="B148" s="66">
        <v>8622.9</v>
      </c>
      <c r="C148" s="66">
        <v>8647.4500000000007</v>
      </c>
      <c r="D148" s="66">
        <v>8687.2000000000007</v>
      </c>
      <c r="E148" s="66">
        <v>8611.4</v>
      </c>
      <c r="F148" s="67" t="s">
        <v>967</v>
      </c>
      <c r="G148" s="68">
        <v>-1.6000000000000001E-3</v>
      </c>
      <c r="H148" s="64"/>
    </row>
    <row r="149" spans="1:8" x14ac:dyDescent="0.25">
      <c r="A149" s="65">
        <v>42585</v>
      </c>
      <c r="B149" s="66">
        <v>8544.85</v>
      </c>
      <c r="C149" s="66">
        <v>8635.2000000000007</v>
      </c>
      <c r="D149" s="66">
        <v>8635.4500000000007</v>
      </c>
      <c r="E149" s="66">
        <v>8529.6</v>
      </c>
      <c r="F149" s="67" t="s">
        <v>2540</v>
      </c>
      <c r="G149" s="68">
        <v>-9.1000000000000004E-3</v>
      </c>
      <c r="H149" s="64"/>
    </row>
    <row r="150" spans="1:8" x14ac:dyDescent="0.25">
      <c r="A150" s="65">
        <v>42586</v>
      </c>
      <c r="B150" s="66">
        <v>8551.1</v>
      </c>
      <c r="C150" s="66">
        <v>8599.9500000000007</v>
      </c>
      <c r="D150" s="66">
        <v>8601.4</v>
      </c>
      <c r="E150" s="66">
        <v>8518.15</v>
      </c>
      <c r="F150" s="67" t="s">
        <v>2539</v>
      </c>
      <c r="G150" s="68">
        <v>6.9999999999999999E-4</v>
      </c>
      <c r="H150" s="64"/>
    </row>
    <row r="151" spans="1:8" x14ac:dyDescent="0.25">
      <c r="A151" s="65">
        <v>42587</v>
      </c>
      <c r="B151" s="66">
        <v>8683.15</v>
      </c>
      <c r="C151" s="66">
        <v>8600.2000000000007</v>
      </c>
      <c r="D151" s="66">
        <v>8689.4</v>
      </c>
      <c r="E151" s="66">
        <v>8590.15</v>
      </c>
      <c r="F151" s="67" t="s">
        <v>2538</v>
      </c>
      <c r="G151" s="68">
        <v>1.54E-2</v>
      </c>
      <c r="H151" s="64"/>
    </row>
    <row r="152" spans="1:8" x14ac:dyDescent="0.25">
      <c r="A152" s="65">
        <v>42590</v>
      </c>
      <c r="B152" s="66">
        <v>8711.35</v>
      </c>
      <c r="C152" s="66">
        <v>8712.85</v>
      </c>
      <c r="D152" s="66">
        <v>8723.5</v>
      </c>
      <c r="E152" s="66">
        <v>8697.6</v>
      </c>
      <c r="F152" s="67" t="s">
        <v>2537</v>
      </c>
      <c r="G152" s="68">
        <v>3.2000000000000002E-3</v>
      </c>
      <c r="H152" s="64"/>
    </row>
    <row r="153" spans="1:8" x14ac:dyDescent="0.25">
      <c r="A153" s="65">
        <v>42591</v>
      </c>
      <c r="B153" s="66">
        <v>8678.25</v>
      </c>
      <c r="C153" s="66">
        <v>8727.7999999999993</v>
      </c>
      <c r="D153" s="66">
        <v>8728.35</v>
      </c>
      <c r="E153" s="66">
        <v>8638.2000000000007</v>
      </c>
      <c r="F153" s="67" t="s">
        <v>2376</v>
      </c>
      <c r="G153" s="68">
        <v>-3.8E-3</v>
      </c>
      <c r="H153" s="64"/>
    </row>
    <row r="154" spans="1:8" x14ac:dyDescent="0.25">
      <c r="A154" s="65">
        <v>42592</v>
      </c>
      <c r="B154" s="66">
        <v>8575.2999999999993</v>
      </c>
      <c r="C154" s="66">
        <v>8686.7000000000007</v>
      </c>
      <c r="D154" s="66">
        <v>8690.1</v>
      </c>
      <c r="E154" s="66">
        <v>8564.6</v>
      </c>
      <c r="F154" s="67" t="s">
        <v>2536</v>
      </c>
      <c r="G154" s="68">
        <v>-1.1900000000000001E-2</v>
      </c>
      <c r="H154" s="64"/>
    </row>
    <row r="155" spans="1:8" x14ac:dyDescent="0.25">
      <c r="A155" s="65">
        <v>42593</v>
      </c>
      <c r="B155" s="66">
        <v>8592.15</v>
      </c>
      <c r="C155" s="66">
        <v>8572.7999999999993</v>
      </c>
      <c r="D155" s="66">
        <v>8601.15</v>
      </c>
      <c r="E155" s="66">
        <v>8540.0499999999993</v>
      </c>
      <c r="F155" s="67" t="s">
        <v>2535</v>
      </c>
      <c r="G155" s="68">
        <v>2E-3</v>
      </c>
      <c r="H155" s="64"/>
    </row>
    <row r="156" spans="1:8" x14ac:dyDescent="0.25">
      <c r="A156" s="65">
        <v>42594</v>
      </c>
      <c r="B156" s="66">
        <v>8672.15</v>
      </c>
      <c r="C156" s="66">
        <v>8605.4500000000007</v>
      </c>
      <c r="D156" s="66">
        <v>8684.2999999999993</v>
      </c>
      <c r="E156" s="66">
        <v>8604.4500000000007</v>
      </c>
      <c r="F156" s="67" t="s">
        <v>2534</v>
      </c>
      <c r="G156" s="68">
        <v>9.2999999999999992E-3</v>
      </c>
      <c r="H156" s="64"/>
    </row>
    <row r="157" spans="1:8" x14ac:dyDescent="0.25">
      <c r="A157" s="65">
        <v>42598</v>
      </c>
      <c r="B157" s="66">
        <v>8642.5499999999993</v>
      </c>
      <c r="C157" s="66">
        <v>8670.25</v>
      </c>
      <c r="D157" s="66">
        <v>8682.35</v>
      </c>
      <c r="E157" s="66">
        <v>8600.4500000000007</v>
      </c>
      <c r="F157" s="67" t="s">
        <v>2533</v>
      </c>
      <c r="G157" s="68">
        <v>-3.3999999999999998E-3</v>
      </c>
      <c r="H157" s="64"/>
    </row>
    <row r="158" spans="1:8" x14ac:dyDescent="0.25">
      <c r="A158" s="65">
        <v>42599</v>
      </c>
      <c r="B158" s="66">
        <v>8624.0499999999993</v>
      </c>
      <c r="C158" s="66">
        <v>8639.7999999999993</v>
      </c>
      <c r="D158" s="66">
        <v>8667.1</v>
      </c>
      <c r="E158" s="66">
        <v>8603.6</v>
      </c>
      <c r="F158" s="67" t="s">
        <v>2532</v>
      </c>
      <c r="G158" s="68">
        <v>-2.0999999999999999E-3</v>
      </c>
      <c r="H158" s="64"/>
    </row>
    <row r="159" spans="1:8" x14ac:dyDescent="0.25">
      <c r="A159" s="65">
        <v>42600</v>
      </c>
      <c r="B159" s="66">
        <v>8673.25</v>
      </c>
      <c r="C159" s="66">
        <v>8648.85</v>
      </c>
      <c r="D159" s="66">
        <v>8690.7000000000007</v>
      </c>
      <c r="E159" s="66">
        <v>8645.0499999999993</v>
      </c>
      <c r="F159" s="67" t="s">
        <v>2531</v>
      </c>
      <c r="G159" s="68">
        <v>5.7000000000000002E-3</v>
      </c>
      <c r="H159" s="64"/>
    </row>
    <row r="160" spans="1:8" x14ac:dyDescent="0.25">
      <c r="A160" s="65">
        <v>42601</v>
      </c>
      <c r="B160" s="66">
        <v>8666.9</v>
      </c>
      <c r="C160" s="66">
        <v>8694.2999999999993</v>
      </c>
      <c r="D160" s="66">
        <v>8696.6</v>
      </c>
      <c r="E160" s="66">
        <v>8647.1</v>
      </c>
      <c r="F160" s="67" t="s">
        <v>2530</v>
      </c>
      <c r="G160" s="68">
        <v>-6.9999999999999999E-4</v>
      </c>
      <c r="H160" s="64"/>
    </row>
    <row r="161" spans="1:8" x14ac:dyDescent="0.25">
      <c r="A161" s="65">
        <v>42604</v>
      </c>
      <c r="B161" s="66">
        <v>8629.15</v>
      </c>
      <c r="C161" s="66">
        <v>8667</v>
      </c>
      <c r="D161" s="66">
        <v>8684.85</v>
      </c>
      <c r="E161" s="66">
        <v>8614</v>
      </c>
      <c r="F161" s="67" t="s">
        <v>2529</v>
      </c>
      <c r="G161" s="68">
        <v>-4.4000000000000003E-3</v>
      </c>
      <c r="H161" s="64"/>
    </row>
    <row r="162" spans="1:8" x14ac:dyDescent="0.25">
      <c r="A162" s="65">
        <v>42605</v>
      </c>
      <c r="B162" s="66">
        <v>8632.6</v>
      </c>
      <c r="C162" s="66">
        <v>8628.35</v>
      </c>
      <c r="D162" s="66">
        <v>8642.15</v>
      </c>
      <c r="E162" s="66">
        <v>8580</v>
      </c>
      <c r="F162" s="67" t="s">
        <v>2528</v>
      </c>
      <c r="G162" s="68">
        <v>4.0000000000000002E-4</v>
      </c>
      <c r="H162" s="64"/>
    </row>
    <row r="163" spans="1:8" x14ac:dyDescent="0.25">
      <c r="A163" s="65">
        <v>42606</v>
      </c>
      <c r="B163" s="66">
        <v>8650.2999999999993</v>
      </c>
      <c r="C163" s="66">
        <v>8648.5</v>
      </c>
      <c r="D163" s="66">
        <v>8661.0499999999993</v>
      </c>
      <c r="E163" s="66">
        <v>8620.9</v>
      </c>
      <c r="F163" s="67" t="s">
        <v>2527</v>
      </c>
      <c r="G163" s="68">
        <v>2.0999999999999999E-3</v>
      </c>
      <c r="H163" s="64"/>
    </row>
    <row r="164" spans="1:8" x14ac:dyDescent="0.25">
      <c r="A164" s="65">
        <v>42607</v>
      </c>
      <c r="B164" s="66">
        <v>8592.2000000000007</v>
      </c>
      <c r="C164" s="66">
        <v>8668.85</v>
      </c>
      <c r="D164" s="66">
        <v>8683.0499999999993</v>
      </c>
      <c r="E164" s="66">
        <v>8583.65</v>
      </c>
      <c r="F164" s="67" t="s">
        <v>2526</v>
      </c>
      <c r="G164" s="68">
        <v>-6.7000000000000002E-3</v>
      </c>
      <c r="H164" s="64"/>
    </row>
    <row r="165" spans="1:8" x14ac:dyDescent="0.25">
      <c r="A165" s="65">
        <v>42608</v>
      </c>
      <c r="B165" s="66">
        <v>8572.5499999999993</v>
      </c>
      <c r="C165" s="66">
        <v>8614.35</v>
      </c>
      <c r="D165" s="66">
        <v>8622.9500000000007</v>
      </c>
      <c r="E165" s="66">
        <v>8547.5499999999993</v>
      </c>
      <c r="F165" s="67" t="s">
        <v>2525</v>
      </c>
      <c r="G165" s="68">
        <v>-2.3E-3</v>
      </c>
      <c r="H165" s="64"/>
    </row>
    <row r="166" spans="1:8" x14ac:dyDescent="0.25">
      <c r="A166" s="65">
        <v>42611</v>
      </c>
      <c r="B166" s="66">
        <v>8607.4500000000007</v>
      </c>
      <c r="C166" s="66">
        <v>8583.75</v>
      </c>
      <c r="D166" s="66">
        <v>8622</v>
      </c>
      <c r="E166" s="66">
        <v>8543.75</v>
      </c>
      <c r="F166" s="67" t="s">
        <v>2524</v>
      </c>
      <c r="G166" s="68">
        <v>4.1000000000000003E-3</v>
      </c>
      <c r="H166" s="64"/>
    </row>
    <row r="167" spans="1:8" x14ac:dyDescent="0.25">
      <c r="A167" s="65">
        <v>42612</v>
      </c>
      <c r="B167" s="66">
        <v>8744.35</v>
      </c>
      <c r="C167" s="66">
        <v>8646.75</v>
      </c>
      <c r="D167" s="66">
        <v>8750.6</v>
      </c>
      <c r="E167" s="66">
        <v>8642.25</v>
      </c>
      <c r="F167" s="67" t="s">
        <v>2523</v>
      </c>
      <c r="G167" s="68">
        <v>1.5900000000000001E-2</v>
      </c>
      <c r="H167" s="64"/>
    </row>
    <row r="168" spans="1:8" x14ac:dyDescent="0.25">
      <c r="A168" s="65">
        <v>42613</v>
      </c>
      <c r="B168" s="66">
        <v>8786.2000000000007</v>
      </c>
      <c r="C168" s="66">
        <v>8754.0499999999993</v>
      </c>
      <c r="D168" s="66">
        <v>8819.2000000000007</v>
      </c>
      <c r="E168" s="66">
        <v>8754.0499999999993</v>
      </c>
      <c r="F168" s="67" t="s">
        <v>2522</v>
      </c>
      <c r="G168" s="68">
        <v>4.7999999999999996E-3</v>
      </c>
      <c r="H168" s="64"/>
    </row>
    <row r="169" spans="1:8" x14ac:dyDescent="0.25">
      <c r="A169" s="65">
        <v>42614</v>
      </c>
      <c r="B169" s="66">
        <v>8774.65</v>
      </c>
      <c r="C169" s="66">
        <v>8793.6</v>
      </c>
      <c r="D169" s="66">
        <v>8813.25</v>
      </c>
      <c r="E169" s="66">
        <v>8759.9500000000007</v>
      </c>
      <c r="F169" s="67" t="s">
        <v>2521</v>
      </c>
      <c r="G169" s="68">
        <v>-1.2999999999999999E-3</v>
      </c>
      <c r="H169" s="64"/>
    </row>
    <row r="170" spans="1:8" x14ac:dyDescent="0.25">
      <c r="A170" s="65">
        <v>42615</v>
      </c>
      <c r="B170" s="66">
        <v>8809.65</v>
      </c>
      <c r="C170" s="66">
        <v>8796.35</v>
      </c>
      <c r="D170" s="66">
        <v>8824.1</v>
      </c>
      <c r="E170" s="66">
        <v>8768.2000000000007</v>
      </c>
      <c r="F170" s="67" t="s">
        <v>2520</v>
      </c>
      <c r="G170" s="68">
        <v>4.0000000000000001E-3</v>
      </c>
      <c r="H170" s="64"/>
    </row>
    <row r="171" spans="1:8" x14ac:dyDescent="0.25">
      <c r="A171" s="65">
        <v>42619</v>
      </c>
      <c r="B171" s="66">
        <v>8943</v>
      </c>
      <c r="C171" s="66">
        <v>8852.7000000000007</v>
      </c>
      <c r="D171" s="66">
        <v>8950.85</v>
      </c>
      <c r="E171" s="66">
        <v>8848.4500000000007</v>
      </c>
      <c r="F171" s="67" t="s">
        <v>2519</v>
      </c>
      <c r="G171" s="68">
        <v>1.5100000000000001E-2</v>
      </c>
      <c r="H171" s="64"/>
    </row>
    <row r="172" spans="1:8" x14ac:dyDescent="0.25">
      <c r="A172" s="65">
        <v>42620</v>
      </c>
      <c r="B172" s="66">
        <v>8917.9500000000007</v>
      </c>
      <c r="C172" s="66">
        <v>8968.7000000000007</v>
      </c>
      <c r="D172" s="66">
        <v>8968.7000000000007</v>
      </c>
      <c r="E172" s="66">
        <v>8913.35</v>
      </c>
      <c r="F172" s="67" t="s">
        <v>2518</v>
      </c>
      <c r="G172" s="68">
        <v>-2.8E-3</v>
      </c>
      <c r="H172" s="64"/>
    </row>
    <row r="173" spans="1:8" x14ac:dyDescent="0.25">
      <c r="A173" s="65">
        <v>42621</v>
      </c>
      <c r="B173" s="66">
        <v>8952.5</v>
      </c>
      <c r="C173" s="66">
        <v>8915.5</v>
      </c>
      <c r="D173" s="66">
        <v>8960.35</v>
      </c>
      <c r="E173" s="66">
        <v>8896</v>
      </c>
      <c r="F173" s="67" t="s">
        <v>2517</v>
      </c>
      <c r="G173" s="68">
        <v>3.8999999999999998E-3</v>
      </c>
      <c r="H173" s="64"/>
    </row>
    <row r="174" spans="1:8" x14ac:dyDescent="0.25">
      <c r="A174" s="65">
        <v>42622</v>
      </c>
      <c r="B174" s="66">
        <v>8866.7000000000007</v>
      </c>
      <c r="C174" s="66">
        <v>8934.2999999999993</v>
      </c>
      <c r="D174" s="66">
        <v>8939.15</v>
      </c>
      <c r="E174" s="66">
        <v>8858.7000000000007</v>
      </c>
      <c r="F174" s="67" t="s">
        <v>2516</v>
      </c>
      <c r="G174" s="68">
        <v>-9.5999999999999992E-3</v>
      </c>
      <c r="H174" s="64"/>
    </row>
    <row r="175" spans="1:8" x14ac:dyDescent="0.25">
      <c r="A175" s="65">
        <v>42625</v>
      </c>
      <c r="B175" s="66">
        <v>8715.6</v>
      </c>
      <c r="C175" s="66">
        <v>8732.9500000000007</v>
      </c>
      <c r="D175" s="66">
        <v>8746.9500000000007</v>
      </c>
      <c r="E175" s="66">
        <v>8699.4</v>
      </c>
      <c r="F175" s="67" t="s">
        <v>2515</v>
      </c>
      <c r="G175" s="68">
        <v>-1.7000000000000001E-2</v>
      </c>
      <c r="H175" s="64"/>
    </row>
    <row r="176" spans="1:8" x14ac:dyDescent="0.25">
      <c r="A176" s="65">
        <v>42627</v>
      </c>
      <c r="B176" s="66">
        <v>8726.6</v>
      </c>
      <c r="C176" s="66">
        <v>8710.65</v>
      </c>
      <c r="D176" s="66">
        <v>8739.85</v>
      </c>
      <c r="E176" s="66">
        <v>8688.9</v>
      </c>
      <c r="F176" s="67" t="s">
        <v>2514</v>
      </c>
      <c r="G176" s="68">
        <v>1.2999999999999999E-3</v>
      </c>
      <c r="H176" s="64"/>
    </row>
    <row r="177" spans="1:8" x14ac:dyDescent="0.25">
      <c r="A177" s="65">
        <v>42628</v>
      </c>
      <c r="B177" s="66">
        <v>8742.5499999999993</v>
      </c>
      <c r="C177" s="66">
        <v>8743.85</v>
      </c>
      <c r="D177" s="66">
        <v>8751.9500000000007</v>
      </c>
      <c r="E177" s="66">
        <v>8704.35</v>
      </c>
      <c r="F177" s="67" t="s">
        <v>2513</v>
      </c>
      <c r="G177" s="68">
        <v>1.8E-3</v>
      </c>
      <c r="H177" s="64"/>
    </row>
    <row r="178" spans="1:8" x14ac:dyDescent="0.25">
      <c r="A178" s="65">
        <v>42629</v>
      </c>
      <c r="B178" s="66">
        <v>8779.85</v>
      </c>
      <c r="C178" s="66">
        <v>8780.85</v>
      </c>
      <c r="D178" s="66">
        <v>8847.65</v>
      </c>
      <c r="E178" s="66">
        <v>8750.5</v>
      </c>
      <c r="F178" s="67" t="s">
        <v>2512</v>
      </c>
      <c r="G178" s="68">
        <v>4.3E-3</v>
      </c>
      <c r="H178" s="64"/>
    </row>
    <row r="179" spans="1:8" x14ac:dyDescent="0.25">
      <c r="A179" s="65">
        <v>42632</v>
      </c>
      <c r="B179" s="66">
        <v>8808.4</v>
      </c>
      <c r="C179" s="66">
        <v>8788.4500000000007</v>
      </c>
      <c r="D179" s="66">
        <v>8824.2999999999993</v>
      </c>
      <c r="E179" s="66">
        <v>8774.2000000000007</v>
      </c>
      <c r="F179" s="67" t="s">
        <v>2511</v>
      </c>
      <c r="G179" s="68">
        <v>3.3E-3</v>
      </c>
      <c r="H179" s="64"/>
    </row>
    <row r="180" spans="1:8" x14ac:dyDescent="0.25">
      <c r="A180" s="65">
        <v>42633</v>
      </c>
      <c r="B180" s="66">
        <v>8775.9</v>
      </c>
      <c r="C180" s="66">
        <v>8816.1</v>
      </c>
      <c r="D180" s="66">
        <v>8816.4500000000007</v>
      </c>
      <c r="E180" s="66">
        <v>8759.2999999999993</v>
      </c>
      <c r="F180" s="67" t="s">
        <v>2510</v>
      </c>
      <c r="G180" s="68">
        <v>-3.7000000000000002E-3</v>
      </c>
      <c r="H180" s="64"/>
    </row>
    <row r="181" spans="1:8" x14ac:dyDescent="0.25">
      <c r="A181" s="65">
        <v>42634</v>
      </c>
      <c r="B181" s="66">
        <v>8777.15</v>
      </c>
      <c r="C181" s="66">
        <v>8790.2999999999993</v>
      </c>
      <c r="D181" s="66">
        <v>8826.85</v>
      </c>
      <c r="E181" s="66">
        <v>8757.2999999999993</v>
      </c>
      <c r="F181" s="67" t="s">
        <v>2509</v>
      </c>
      <c r="G181" s="68">
        <v>1E-4</v>
      </c>
      <c r="H181" s="64"/>
    </row>
    <row r="182" spans="1:8" x14ac:dyDescent="0.25">
      <c r="A182" s="65">
        <v>42635</v>
      </c>
      <c r="B182" s="66">
        <v>8867.4500000000007</v>
      </c>
      <c r="C182" s="66">
        <v>8873.35</v>
      </c>
      <c r="D182" s="66">
        <v>8893.35</v>
      </c>
      <c r="E182" s="66">
        <v>8837.7999999999993</v>
      </c>
      <c r="F182" s="67" t="s">
        <v>2508</v>
      </c>
      <c r="G182" s="68">
        <v>1.03E-2</v>
      </c>
      <c r="H182" s="64"/>
    </row>
    <row r="183" spans="1:8" x14ac:dyDescent="0.25">
      <c r="A183" s="65">
        <v>42636</v>
      </c>
      <c r="B183" s="66">
        <v>8831.5499999999993</v>
      </c>
      <c r="C183" s="66">
        <v>8880.75</v>
      </c>
      <c r="D183" s="66">
        <v>8885.2000000000007</v>
      </c>
      <c r="E183" s="66">
        <v>8820.2999999999993</v>
      </c>
      <c r="F183" s="67" t="s">
        <v>2507</v>
      </c>
      <c r="G183" s="68">
        <v>-4.0000000000000001E-3</v>
      </c>
      <c r="H183" s="64"/>
    </row>
    <row r="184" spans="1:8" x14ac:dyDescent="0.25">
      <c r="A184" s="65">
        <v>42639</v>
      </c>
      <c r="B184" s="66">
        <v>8723.0499999999993</v>
      </c>
      <c r="C184" s="66">
        <v>8807.9</v>
      </c>
      <c r="D184" s="66">
        <v>8809.5499999999993</v>
      </c>
      <c r="E184" s="66">
        <v>8715.1</v>
      </c>
      <c r="F184" s="67" t="s">
        <v>2506</v>
      </c>
      <c r="G184" s="68">
        <v>-1.23E-2</v>
      </c>
      <c r="H184" s="64"/>
    </row>
    <row r="185" spans="1:8" x14ac:dyDescent="0.25">
      <c r="A185" s="65">
        <v>42640</v>
      </c>
      <c r="B185" s="66">
        <v>8706.4</v>
      </c>
      <c r="C185" s="66">
        <v>8748.9</v>
      </c>
      <c r="D185" s="66">
        <v>8768.5</v>
      </c>
      <c r="E185" s="66">
        <v>8690.5</v>
      </c>
      <c r="F185" s="67" t="s">
        <v>2505</v>
      </c>
      <c r="G185" s="68">
        <v>-1.9E-3</v>
      </c>
      <c r="H185" s="64"/>
    </row>
    <row r="186" spans="1:8" x14ac:dyDescent="0.25">
      <c r="A186" s="65">
        <v>42641</v>
      </c>
      <c r="B186" s="66">
        <v>8745.15</v>
      </c>
      <c r="C186" s="66">
        <v>8711.2000000000007</v>
      </c>
      <c r="D186" s="66">
        <v>8767.0499999999993</v>
      </c>
      <c r="E186" s="66">
        <v>8703.15</v>
      </c>
      <c r="F186" s="67" t="s">
        <v>2504</v>
      </c>
      <c r="G186" s="68">
        <v>4.4999999999999997E-3</v>
      </c>
      <c r="H186" s="64"/>
    </row>
    <row r="187" spans="1:8" x14ac:dyDescent="0.25">
      <c r="A187" s="65">
        <v>42642</v>
      </c>
      <c r="B187" s="66">
        <v>8591.25</v>
      </c>
      <c r="C187" s="66">
        <v>8792.7000000000007</v>
      </c>
      <c r="D187" s="66">
        <v>8800.65</v>
      </c>
      <c r="E187" s="66">
        <v>8558.25</v>
      </c>
      <c r="F187" s="67" t="s">
        <v>2503</v>
      </c>
      <c r="G187" s="68">
        <v>-1.7600000000000001E-2</v>
      </c>
      <c r="H187" s="64"/>
    </row>
    <row r="188" spans="1:8" x14ac:dyDescent="0.25">
      <c r="A188" s="65">
        <v>42643</v>
      </c>
      <c r="B188" s="66">
        <v>8611.15</v>
      </c>
      <c r="C188" s="66">
        <v>8581.5</v>
      </c>
      <c r="D188" s="66">
        <v>8637.15</v>
      </c>
      <c r="E188" s="66">
        <v>8555.2000000000007</v>
      </c>
      <c r="F188" s="67" t="s">
        <v>2502</v>
      </c>
      <c r="G188" s="68">
        <v>2.3E-3</v>
      </c>
      <c r="H188" s="64"/>
    </row>
    <row r="189" spans="1:8" x14ac:dyDescent="0.25">
      <c r="A189" s="65">
        <v>42646</v>
      </c>
      <c r="B189" s="66">
        <v>8738.1</v>
      </c>
      <c r="C189" s="66">
        <v>8666.15</v>
      </c>
      <c r="D189" s="66">
        <v>8745.2000000000007</v>
      </c>
      <c r="E189" s="66">
        <v>8635</v>
      </c>
      <c r="F189" s="67" t="s">
        <v>2501</v>
      </c>
      <c r="G189" s="68">
        <v>1.47E-2</v>
      </c>
      <c r="H189" s="64"/>
    </row>
    <row r="190" spans="1:8" x14ac:dyDescent="0.25">
      <c r="A190" s="65">
        <v>42647</v>
      </c>
      <c r="B190" s="66">
        <v>8769.15</v>
      </c>
      <c r="C190" s="66">
        <v>8770</v>
      </c>
      <c r="D190" s="66">
        <v>8783.65</v>
      </c>
      <c r="E190" s="66">
        <v>8736.1</v>
      </c>
      <c r="F190" s="67" t="s">
        <v>2500</v>
      </c>
      <c r="G190" s="68">
        <v>3.5999999999999999E-3</v>
      </c>
      <c r="H190" s="64"/>
    </row>
    <row r="191" spans="1:8" x14ac:dyDescent="0.25">
      <c r="A191" s="65">
        <v>42648</v>
      </c>
      <c r="B191" s="66">
        <v>8743.9500000000007</v>
      </c>
      <c r="C191" s="66">
        <v>8806.35</v>
      </c>
      <c r="D191" s="66">
        <v>8806.9500000000007</v>
      </c>
      <c r="E191" s="66">
        <v>8731.4</v>
      </c>
      <c r="F191" s="67" t="s">
        <v>2499</v>
      </c>
      <c r="G191" s="68">
        <v>-2.8999999999999998E-3</v>
      </c>
      <c r="H191" s="64"/>
    </row>
    <row r="192" spans="1:8" x14ac:dyDescent="0.25">
      <c r="A192" s="65">
        <v>42649</v>
      </c>
      <c r="B192" s="66">
        <v>8709.5499999999993</v>
      </c>
      <c r="C192" s="66">
        <v>8768.7000000000007</v>
      </c>
      <c r="D192" s="66">
        <v>8781.15</v>
      </c>
      <c r="E192" s="66">
        <v>8684.65</v>
      </c>
      <c r="F192" s="67" t="s">
        <v>2498</v>
      </c>
      <c r="G192" s="68">
        <v>-3.8999999999999998E-3</v>
      </c>
      <c r="H192" s="64"/>
    </row>
    <row r="193" spans="1:8" x14ac:dyDescent="0.25">
      <c r="A193" s="65">
        <v>42650</v>
      </c>
      <c r="B193" s="66">
        <v>8697.6</v>
      </c>
      <c r="C193" s="66">
        <v>8721.7000000000007</v>
      </c>
      <c r="D193" s="66">
        <v>8723.7000000000007</v>
      </c>
      <c r="E193" s="66">
        <v>8663.7999999999993</v>
      </c>
      <c r="F193" s="67" t="s">
        <v>2497</v>
      </c>
      <c r="G193" s="68">
        <v>-1.4E-3</v>
      </c>
      <c r="H193" s="64"/>
    </row>
    <row r="194" spans="1:8" x14ac:dyDescent="0.25">
      <c r="A194" s="65">
        <v>42653</v>
      </c>
      <c r="B194" s="66">
        <v>8708.7999999999993</v>
      </c>
      <c r="C194" s="66">
        <v>8735.35</v>
      </c>
      <c r="D194" s="66">
        <v>8745.7999999999993</v>
      </c>
      <c r="E194" s="66">
        <v>8703.9500000000007</v>
      </c>
      <c r="F194" s="67" t="s">
        <v>2496</v>
      </c>
      <c r="G194" s="68">
        <v>1.2999999999999999E-3</v>
      </c>
      <c r="H194" s="64"/>
    </row>
    <row r="195" spans="1:8" x14ac:dyDescent="0.25">
      <c r="A195" s="65">
        <v>42656</v>
      </c>
      <c r="B195" s="66">
        <v>8573.35</v>
      </c>
      <c r="C195" s="66">
        <v>8671.5</v>
      </c>
      <c r="D195" s="66">
        <v>8681.5499999999993</v>
      </c>
      <c r="E195" s="66">
        <v>8541.35</v>
      </c>
      <c r="F195" s="67" t="s">
        <v>2495</v>
      </c>
      <c r="G195" s="68">
        <v>-1.5599999999999999E-2</v>
      </c>
      <c r="H195" s="64"/>
    </row>
    <row r="196" spans="1:8" x14ac:dyDescent="0.25">
      <c r="A196" s="65">
        <v>42657</v>
      </c>
      <c r="B196" s="66">
        <v>8583.4</v>
      </c>
      <c r="C196" s="66">
        <v>8594</v>
      </c>
      <c r="D196" s="66">
        <v>8604.4500000000007</v>
      </c>
      <c r="E196" s="66">
        <v>8549.7999999999993</v>
      </c>
      <c r="F196" s="67" t="s">
        <v>2494</v>
      </c>
      <c r="G196" s="68">
        <v>1.1999999999999999E-3</v>
      </c>
      <c r="H196" s="64"/>
    </row>
    <row r="197" spans="1:8" x14ac:dyDescent="0.25">
      <c r="A197" s="65">
        <v>42660</v>
      </c>
      <c r="B197" s="66">
        <v>8520.4</v>
      </c>
      <c r="C197" s="66">
        <v>8612.9500000000007</v>
      </c>
      <c r="D197" s="66">
        <v>8615.4</v>
      </c>
      <c r="E197" s="66">
        <v>8506.15</v>
      </c>
      <c r="F197" s="67" t="s">
        <v>2493</v>
      </c>
      <c r="G197" s="68">
        <v>-7.3000000000000001E-3</v>
      </c>
      <c r="H197" s="64"/>
    </row>
    <row r="198" spans="1:8" x14ac:dyDescent="0.25">
      <c r="A198" s="65">
        <v>42661</v>
      </c>
      <c r="B198" s="66">
        <v>8677.9</v>
      </c>
      <c r="C198" s="66">
        <v>8556.0499999999993</v>
      </c>
      <c r="D198" s="66">
        <v>8685.1</v>
      </c>
      <c r="E198" s="66">
        <v>8555.9</v>
      </c>
      <c r="F198" s="67" t="s">
        <v>2492</v>
      </c>
      <c r="G198" s="68">
        <v>1.8499999999999999E-2</v>
      </c>
      <c r="H198" s="64"/>
    </row>
    <row r="199" spans="1:8" x14ac:dyDescent="0.25">
      <c r="A199" s="65">
        <v>42662</v>
      </c>
      <c r="B199" s="66">
        <v>8659.1</v>
      </c>
      <c r="C199" s="66">
        <v>8697.5</v>
      </c>
      <c r="D199" s="66">
        <v>8698.75</v>
      </c>
      <c r="E199" s="66">
        <v>8636.7000000000007</v>
      </c>
      <c r="F199" s="67" t="s">
        <v>2491</v>
      </c>
      <c r="G199" s="68">
        <v>-2.2000000000000001E-3</v>
      </c>
      <c r="H199" s="64"/>
    </row>
    <row r="200" spans="1:8" x14ac:dyDescent="0.25">
      <c r="A200" s="65">
        <v>42663</v>
      </c>
      <c r="B200" s="66">
        <v>8699.4</v>
      </c>
      <c r="C200" s="66">
        <v>8693.35</v>
      </c>
      <c r="D200" s="66">
        <v>8727</v>
      </c>
      <c r="E200" s="66">
        <v>8678.2999999999993</v>
      </c>
      <c r="F200" s="67" t="s">
        <v>2490</v>
      </c>
      <c r="G200" s="68">
        <v>4.7000000000000002E-3</v>
      </c>
      <c r="H200" s="64"/>
    </row>
    <row r="201" spans="1:8" x14ac:dyDescent="0.25">
      <c r="A201" s="65">
        <v>42664</v>
      </c>
      <c r="B201" s="66">
        <v>8693.0499999999993</v>
      </c>
      <c r="C201" s="66">
        <v>8708.6</v>
      </c>
      <c r="D201" s="66">
        <v>8709.1</v>
      </c>
      <c r="E201" s="66">
        <v>8652.0499999999993</v>
      </c>
      <c r="F201" s="67" t="s">
        <v>2489</v>
      </c>
      <c r="G201" s="68">
        <v>-6.9999999999999999E-4</v>
      </c>
      <c r="H201" s="64"/>
    </row>
    <row r="202" spans="1:8" x14ac:dyDescent="0.25">
      <c r="A202" s="65">
        <v>42667</v>
      </c>
      <c r="B202" s="66">
        <v>8708.9500000000007</v>
      </c>
      <c r="C202" s="66">
        <v>8709.85</v>
      </c>
      <c r="D202" s="66">
        <v>8736.9500000000007</v>
      </c>
      <c r="E202" s="66">
        <v>8684.15</v>
      </c>
      <c r="F202" s="67" t="s">
        <v>2488</v>
      </c>
      <c r="G202" s="68">
        <v>1.8E-3</v>
      </c>
      <c r="H202" s="64"/>
    </row>
    <row r="203" spans="1:8" x14ac:dyDescent="0.25">
      <c r="A203" s="65">
        <v>42668</v>
      </c>
      <c r="B203" s="66">
        <v>8691.2999999999993</v>
      </c>
      <c r="C203" s="66">
        <v>8721.7000000000007</v>
      </c>
      <c r="D203" s="66">
        <v>8722.65</v>
      </c>
      <c r="E203" s="66">
        <v>8663.4500000000007</v>
      </c>
      <c r="F203" s="67" t="s">
        <v>1006</v>
      </c>
      <c r="G203" s="68">
        <v>-2E-3</v>
      </c>
      <c r="H203" s="64"/>
    </row>
    <row r="204" spans="1:8" x14ac:dyDescent="0.25">
      <c r="A204" s="65">
        <v>42669</v>
      </c>
      <c r="B204" s="66">
        <v>8615.25</v>
      </c>
      <c r="C204" s="66">
        <v>8657.2999999999993</v>
      </c>
      <c r="D204" s="66">
        <v>8657.2999999999993</v>
      </c>
      <c r="E204" s="66">
        <v>8596.6</v>
      </c>
      <c r="F204" s="67" t="s">
        <v>2487</v>
      </c>
      <c r="G204" s="68">
        <v>-8.8000000000000005E-3</v>
      </c>
      <c r="H204" s="64"/>
    </row>
    <row r="205" spans="1:8" x14ac:dyDescent="0.25">
      <c r="A205" s="65">
        <v>42670</v>
      </c>
      <c r="B205" s="66">
        <v>8615.25</v>
      </c>
      <c r="C205" s="66">
        <v>8607.1</v>
      </c>
      <c r="D205" s="66">
        <v>8624.85</v>
      </c>
      <c r="E205" s="66">
        <v>8550.25</v>
      </c>
      <c r="F205" s="67" t="s">
        <v>2486</v>
      </c>
      <c r="G205" s="68">
        <v>0</v>
      </c>
      <c r="H205" s="64"/>
    </row>
    <row r="206" spans="1:8" x14ac:dyDescent="0.25">
      <c r="A206" s="65">
        <v>42671</v>
      </c>
      <c r="B206" s="66">
        <v>8638</v>
      </c>
      <c r="C206" s="66">
        <v>8625</v>
      </c>
      <c r="D206" s="66">
        <v>8653.75</v>
      </c>
      <c r="E206" s="66">
        <v>8581.75</v>
      </c>
      <c r="F206" s="67" t="s">
        <v>2485</v>
      </c>
      <c r="G206" s="68">
        <v>2.5999999999999999E-3</v>
      </c>
      <c r="H206" s="64"/>
    </row>
    <row r="207" spans="1:8" x14ac:dyDescent="0.25">
      <c r="A207" s="65">
        <v>42673</v>
      </c>
      <c r="B207" s="66">
        <v>8625.7000000000007</v>
      </c>
      <c r="C207" s="66">
        <v>8672.35</v>
      </c>
      <c r="D207" s="66">
        <v>8678.25</v>
      </c>
      <c r="E207" s="66">
        <v>8616.25</v>
      </c>
      <c r="F207" s="67" t="s">
        <v>2484</v>
      </c>
      <c r="G207" s="68">
        <v>-1.4E-3</v>
      </c>
      <c r="H207" s="64"/>
    </row>
    <row r="208" spans="1:8" x14ac:dyDescent="0.25">
      <c r="A208" s="65">
        <v>42675</v>
      </c>
      <c r="B208" s="66">
        <v>8626.25</v>
      </c>
      <c r="C208" s="66">
        <v>8653.15</v>
      </c>
      <c r="D208" s="66">
        <v>8669.6</v>
      </c>
      <c r="E208" s="66">
        <v>8614.5</v>
      </c>
      <c r="F208" s="67" t="s">
        <v>2483</v>
      </c>
      <c r="G208" s="68">
        <v>1E-4</v>
      </c>
      <c r="H208" s="64"/>
    </row>
    <row r="209" spans="1:8" x14ac:dyDescent="0.25">
      <c r="A209" s="65">
        <v>42676</v>
      </c>
      <c r="B209" s="66">
        <v>8514</v>
      </c>
      <c r="C209" s="66">
        <v>8542.7999999999993</v>
      </c>
      <c r="D209" s="66">
        <v>8549.5</v>
      </c>
      <c r="E209" s="66">
        <v>8504.85</v>
      </c>
      <c r="F209" s="67" t="s">
        <v>2482</v>
      </c>
      <c r="G209" s="68">
        <v>-1.2999999999999999E-2</v>
      </c>
      <c r="H209" s="64"/>
    </row>
    <row r="210" spans="1:8" x14ac:dyDescent="0.25">
      <c r="A210" s="65">
        <v>42677</v>
      </c>
      <c r="B210" s="66">
        <v>8484.9500000000007</v>
      </c>
      <c r="C210" s="66">
        <v>8499.85</v>
      </c>
      <c r="D210" s="66">
        <v>8537.65</v>
      </c>
      <c r="E210" s="66">
        <v>8476.15</v>
      </c>
      <c r="F210" s="67" t="s">
        <v>2481</v>
      </c>
      <c r="G210" s="68">
        <v>-3.3999999999999998E-3</v>
      </c>
      <c r="H210" s="64"/>
    </row>
    <row r="211" spans="1:8" x14ac:dyDescent="0.25">
      <c r="A211" s="65">
        <v>42678</v>
      </c>
      <c r="B211" s="66">
        <v>8433.75</v>
      </c>
      <c r="C211" s="66">
        <v>8503.6</v>
      </c>
      <c r="D211" s="66">
        <v>8504</v>
      </c>
      <c r="E211" s="66">
        <v>8400.25</v>
      </c>
      <c r="F211" s="67" t="s">
        <v>2480</v>
      </c>
      <c r="G211" s="68">
        <v>-6.0000000000000001E-3</v>
      </c>
      <c r="H211" s="64"/>
    </row>
    <row r="212" spans="1:8" x14ac:dyDescent="0.25">
      <c r="A212" s="65">
        <v>42681</v>
      </c>
      <c r="B212" s="66">
        <v>8497.0499999999993</v>
      </c>
      <c r="C212" s="66">
        <v>8535.75</v>
      </c>
      <c r="D212" s="66">
        <v>8535.85</v>
      </c>
      <c r="E212" s="66">
        <v>8481.4500000000007</v>
      </c>
      <c r="F212" s="67" t="s">
        <v>2479</v>
      </c>
      <c r="G212" s="68">
        <v>7.4999999999999997E-3</v>
      </c>
      <c r="H212" s="64"/>
    </row>
    <row r="213" spans="1:8" x14ac:dyDescent="0.25">
      <c r="A213" s="65">
        <v>42682</v>
      </c>
      <c r="B213" s="66">
        <v>8543.5499999999993</v>
      </c>
      <c r="C213" s="66">
        <v>8540</v>
      </c>
      <c r="D213" s="66">
        <v>8559.4</v>
      </c>
      <c r="E213" s="66">
        <v>8480.1</v>
      </c>
      <c r="F213" s="67" t="s">
        <v>2478</v>
      </c>
      <c r="G213" s="68">
        <v>5.4999999999999997E-3</v>
      </c>
      <c r="H213" s="64"/>
    </row>
    <row r="214" spans="1:8" x14ac:dyDescent="0.25">
      <c r="A214" s="65">
        <v>42683</v>
      </c>
      <c r="B214" s="66">
        <v>8432</v>
      </c>
      <c r="C214" s="66">
        <v>8067.5</v>
      </c>
      <c r="D214" s="66">
        <v>8476.2000000000007</v>
      </c>
      <c r="E214" s="66">
        <v>8002.25</v>
      </c>
      <c r="F214" s="67" t="s">
        <v>2477</v>
      </c>
      <c r="G214" s="68">
        <v>-1.3100000000000001E-2</v>
      </c>
      <c r="H214" s="64"/>
    </row>
    <row r="215" spans="1:8" x14ac:dyDescent="0.25">
      <c r="A215" s="65">
        <v>42684</v>
      </c>
      <c r="B215" s="66">
        <v>8525.75</v>
      </c>
      <c r="C215" s="66">
        <v>8555.6</v>
      </c>
      <c r="D215" s="66">
        <v>8598.4500000000007</v>
      </c>
      <c r="E215" s="66">
        <v>8510.7000000000007</v>
      </c>
      <c r="F215" s="67" t="s">
        <v>2476</v>
      </c>
      <c r="G215" s="68">
        <v>1.11E-2</v>
      </c>
      <c r="H215" s="64"/>
    </row>
    <row r="216" spans="1:8" x14ac:dyDescent="0.25">
      <c r="A216" s="65">
        <v>42685</v>
      </c>
      <c r="B216" s="66">
        <v>8296.2999999999993</v>
      </c>
      <c r="C216" s="66">
        <v>8456.65</v>
      </c>
      <c r="D216" s="66">
        <v>8460.6</v>
      </c>
      <c r="E216" s="66">
        <v>8284.9500000000007</v>
      </c>
      <c r="F216" s="67" t="s">
        <v>2475</v>
      </c>
      <c r="G216" s="68">
        <v>-2.69E-2</v>
      </c>
      <c r="H216" s="64"/>
    </row>
    <row r="217" spans="1:8" x14ac:dyDescent="0.25">
      <c r="A217" s="65">
        <v>42689</v>
      </c>
      <c r="B217" s="66">
        <v>8108.45</v>
      </c>
      <c r="C217" s="66">
        <v>8284.85</v>
      </c>
      <c r="D217" s="66">
        <v>8288.5499999999993</v>
      </c>
      <c r="E217" s="66">
        <v>8093.2</v>
      </c>
      <c r="F217" s="67" t="s">
        <v>2474</v>
      </c>
      <c r="G217" s="68">
        <v>-2.2599999999999999E-2</v>
      </c>
      <c r="H217" s="64"/>
    </row>
    <row r="218" spans="1:8" x14ac:dyDescent="0.25">
      <c r="A218" s="65">
        <v>42690</v>
      </c>
      <c r="B218" s="66">
        <v>8111.6</v>
      </c>
      <c r="C218" s="66">
        <v>8205.65</v>
      </c>
      <c r="D218" s="66">
        <v>8210.0499999999993</v>
      </c>
      <c r="E218" s="66">
        <v>8089.4</v>
      </c>
      <c r="F218" s="67" t="s">
        <v>2473</v>
      </c>
      <c r="G218" s="68">
        <v>4.0000000000000002E-4</v>
      </c>
      <c r="H218" s="64"/>
    </row>
    <row r="219" spans="1:8" x14ac:dyDescent="0.25">
      <c r="A219" s="65">
        <v>42691</v>
      </c>
      <c r="B219" s="66">
        <v>8079.95</v>
      </c>
      <c r="C219" s="66">
        <v>8105.1</v>
      </c>
      <c r="D219" s="66">
        <v>8151.25</v>
      </c>
      <c r="E219" s="66">
        <v>8060.3</v>
      </c>
      <c r="F219" s="67" t="s">
        <v>2472</v>
      </c>
      <c r="G219" s="68">
        <v>-3.8999999999999998E-3</v>
      </c>
      <c r="H219" s="64"/>
    </row>
    <row r="220" spans="1:8" x14ac:dyDescent="0.25">
      <c r="A220" s="65">
        <v>42692</v>
      </c>
      <c r="B220" s="66">
        <v>8074.1</v>
      </c>
      <c r="C220" s="66">
        <v>8097.55</v>
      </c>
      <c r="D220" s="66">
        <v>8128.95</v>
      </c>
      <c r="E220" s="66">
        <v>8048.3</v>
      </c>
      <c r="F220" s="67" t="s">
        <v>2471</v>
      </c>
      <c r="G220" s="68">
        <v>-6.9999999999999999E-4</v>
      </c>
      <c r="H220" s="64"/>
    </row>
    <row r="221" spans="1:8" x14ac:dyDescent="0.25">
      <c r="A221" s="65">
        <v>42695</v>
      </c>
      <c r="B221" s="66">
        <v>7929.1</v>
      </c>
      <c r="C221" s="66">
        <v>8102.1</v>
      </c>
      <c r="D221" s="66">
        <v>8102.45</v>
      </c>
      <c r="E221" s="66">
        <v>7916.4</v>
      </c>
      <c r="F221" s="67" t="s">
        <v>2401</v>
      </c>
      <c r="G221" s="68">
        <v>-1.7999999999999999E-2</v>
      </c>
      <c r="H221" s="64"/>
    </row>
    <row r="222" spans="1:8" x14ac:dyDescent="0.25">
      <c r="A222" s="65">
        <v>42696</v>
      </c>
      <c r="B222" s="66">
        <v>8002.3</v>
      </c>
      <c r="C222" s="66">
        <v>7989.15</v>
      </c>
      <c r="D222" s="66">
        <v>8019.05</v>
      </c>
      <c r="E222" s="66">
        <v>7938.15</v>
      </c>
      <c r="F222" s="67" t="s">
        <v>2470</v>
      </c>
      <c r="G222" s="68">
        <v>9.1999999999999998E-3</v>
      </c>
      <c r="H222" s="64"/>
    </row>
    <row r="223" spans="1:8" x14ac:dyDescent="0.25">
      <c r="A223" s="65">
        <v>42697</v>
      </c>
      <c r="B223" s="66">
        <v>8033.3</v>
      </c>
      <c r="C223" s="66">
        <v>8051.2</v>
      </c>
      <c r="D223" s="66">
        <v>8055.2</v>
      </c>
      <c r="E223" s="66">
        <v>7973.1</v>
      </c>
      <c r="F223" s="67" t="s">
        <v>2469</v>
      </c>
      <c r="G223" s="68">
        <v>3.8999999999999998E-3</v>
      </c>
      <c r="H223" s="64"/>
    </row>
    <row r="224" spans="1:8" x14ac:dyDescent="0.25">
      <c r="A224" s="65">
        <v>42698</v>
      </c>
      <c r="B224" s="66">
        <v>7965.5</v>
      </c>
      <c r="C224" s="66">
        <v>8011.8</v>
      </c>
      <c r="D224" s="66">
        <v>8024.85</v>
      </c>
      <c r="E224" s="66">
        <v>7952.55</v>
      </c>
      <c r="F224" s="67" t="s">
        <v>2468</v>
      </c>
      <c r="G224" s="68">
        <v>-8.3999999999999995E-3</v>
      </c>
      <c r="H224" s="64"/>
    </row>
    <row r="225" spans="1:8" x14ac:dyDescent="0.25">
      <c r="A225" s="65">
        <v>42699</v>
      </c>
      <c r="B225" s="66">
        <v>8114.3</v>
      </c>
      <c r="C225" s="66">
        <v>8007.95</v>
      </c>
      <c r="D225" s="66">
        <v>8122.25</v>
      </c>
      <c r="E225" s="66">
        <v>7976.75</v>
      </c>
      <c r="F225" s="67" t="s">
        <v>2467</v>
      </c>
      <c r="G225" s="68">
        <v>1.8700000000000001E-2</v>
      </c>
      <c r="H225" s="64"/>
    </row>
    <row r="226" spans="1:8" x14ac:dyDescent="0.25">
      <c r="A226" s="65">
        <v>42702</v>
      </c>
      <c r="B226" s="66">
        <v>8126.9</v>
      </c>
      <c r="C226" s="66">
        <v>8080.65</v>
      </c>
      <c r="D226" s="66">
        <v>8146.5</v>
      </c>
      <c r="E226" s="66">
        <v>8066.5</v>
      </c>
      <c r="F226" s="67" t="s">
        <v>2466</v>
      </c>
      <c r="G226" s="68">
        <v>1.6000000000000001E-3</v>
      </c>
      <c r="H226" s="64"/>
    </row>
    <row r="227" spans="1:8" x14ac:dyDescent="0.25">
      <c r="A227" s="65">
        <v>42703</v>
      </c>
      <c r="B227" s="66">
        <v>8142.15</v>
      </c>
      <c r="C227" s="66">
        <v>8131.55</v>
      </c>
      <c r="D227" s="66">
        <v>8197.35</v>
      </c>
      <c r="E227" s="66">
        <v>8128.7</v>
      </c>
      <c r="F227" s="67" t="s">
        <v>2465</v>
      </c>
      <c r="G227" s="68">
        <v>1.9E-3</v>
      </c>
      <c r="H227" s="64"/>
    </row>
    <row r="228" spans="1:8" x14ac:dyDescent="0.25">
      <c r="A228" s="65">
        <v>42704</v>
      </c>
      <c r="B228" s="66">
        <v>8224.5</v>
      </c>
      <c r="C228" s="66">
        <v>8172.15</v>
      </c>
      <c r="D228" s="66">
        <v>8234.25</v>
      </c>
      <c r="E228" s="66">
        <v>8139.25</v>
      </c>
      <c r="F228" s="67" t="s">
        <v>2464</v>
      </c>
      <c r="G228" s="68">
        <v>1.01E-2</v>
      </c>
      <c r="H228" s="64"/>
    </row>
    <row r="229" spans="1:8" x14ac:dyDescent="0.25">
      <c r="A229" s="65">
        <v>42705</v>
      </c>
      <c r="B229" s="66">
        <v>8192.9</v>
      </c>
      <c r="C229" s="66">
        <v>8244</v>
      </c>
      <c r="D229" s="66">
        <v>8250.7999999999993</v>
      </c>
      <c r="E229" s="66">
        <v>8185.05</v>
      </c>
      <c r="F229" s="67" t="s">
        <v>2463</v>
      </c>
      <c r="G229" s="68">
        <v>-3.8E-3</v>
      </c>
      <c r="H229" s="64"/>
    </row>
    <row r="230" spans="1:8" x14ac:dyDescent="0.25">
      <c r="A230" s="65">
        <v>42706</v>
      </c>
      <c r="B230" s="66">
        <v>8086.8</v>
      </c>
      <c r="C230" s="66">
        <v>8153.55</v>
      </c>
      <c r="D230" s="66">
        <v>8159.3</v>
      </c>
      <c r="E230" s="66">
        <v>8070.05</v>
      </c>
      <c r="F230" s="67" t="s">
        <v>2462</v>
      </c>
      <c r="G230" s="68">
        <v>-1.2999999999999999E-2</v>
      </c>
      <c r="H230" s="64"/>
    </row>
    <row r="231" spans="1:8" x14ac:dyDescent="0.25">
      <c r="A231" s="65">
        <v>42709</v>
      </c>
      <c r="B231" s="66">
        <v>8128.75</v>
      </c>
      <c r="C231" s="66">
        <v>8088.75</v>
      </c>
      <c r="D231" s="66">
        <v>8141.9</v>
      </c>
      <c r="E231" s="66">
        <v>8056.85</v>
      </c>
      <c r="F231" s="67" t="s">
        <v>2461</v>
      </c>
      <c r="G231" s="68">
        <v>5.1999999999999998E-3</v>
      </c>
      <c r="H231" s="64"/>
    </row>
    <row r="232" spans="1:8" x14ac:dyDescent="0.25">
      <c r="A232" s="65">
        <v>42710</v>
      </c>
      <c r="B232" s="66">
        <v>8143.15</v>
      </c>
      <c r="C232" s="66">
        <v>8153.15</v>
      </c>
      <c r="D232" s="66">
        <v>8178.7</v>
      </c>
      <c r="E232" s="66">
        <v>8130.85</v>
      </c>
      <c r="F232" s="67" t="s">
        <v>2460</v>
      </c>
      <c r="G232" s="68">
        <v>1.8E-3</v>
      </c>
      <c r="H232" s="64"/>
    </row>
    <row r="233" spans="1:8" x14ac:dyDescent="0.25">
      <c r="A233" s="65">
        <v>42711</v>
      </c>
      <c r="B233" s="66">
        <v>8102.05</v>
      </c>
      <c r="C233" s="66">
        <v>8168.4</v>
      </c>
      <c r="D233" s="66">
        <v>8190.45</v>
      </c>
      <c r="E233" s="66">
        <v>8077.5</v>
      </c>
      <c r="F233" s="67" t="s">
        <v>2459</v>
      </c>
      <c r="G233" s="68">
        <v>-5.0000000000000001E-3</v>
      </c>
      <c r="H233" s="64"/>
    </row>
    <row r="234" spans="1:8" x14ac:dyDescent="0.25">
      <c r="A234" s="65">
        <v>42712</v>
      </c>
      <c r="B234" s="66">
        <v>8246.85</v>
      </c>
      <c r="C234" s="66">
        <v>8152.1</v>
      </c>
      <c r="D234" s="66">
        <v>8256.25</v>
      </c>
      <c r="E234" s="66">
        <v>8151.75</v>
      </c>
      <c r="F234" s="67" t="s">
        <v>2458</v>
      </c>
      <c r="G234" s="68">
        <v>1.7899999999999999E-2</v>
      </c>
      <c r="H234" s="64"/>
    </row>
    <row r="235" spans="1:8" x14ac:dyDescent="0.25">
      <c r="A235" s="65">
        <v>42713</v>
      </c>
      <c r="B235" s="66">
        <v>8261.75</v>
      </c>
      <c r="C235" s="66">
        <v>8271.7000000000007</v>
      </c>
      <c r="D235" s="66">
        <v>8274.9500000000007</v>
      </c>
      <c r="E235" s="66">
        <v>8241.9500000000007</v>
      </c>
      <c r="F235" s="67" t="s">
        <v>2457</v>
      </c>
      <c r="G235" s="68">
        <v>1.8E-3</v>
      </c>
      <c r="H235" s="64"/>
    </row>
    <row r="236" spans="1:8" x14ac:dyDescent="0.25">
      <c r="A236" s="65">
        <v>42716</v>
      </c>
      <c r="B236" s="66">
        <v>8170.8</v>
      </c>
      <c r="C236" s="66">
        <v>8230.65</v>
      </c>
      <c r="D236" s="66">
        <v>8230.65</v>
      </c>
      <c r="E236" s="66">
        <v>8154.45</v>
      </c>
      <c r="F236" s="67" t="s">
        <v>2456</v>
      </c>
      <c r="G236" s="68">
        <v>-1.0999999999999999E-2</v>
      </c>
      <c r="H236" s="64"/>
    </row>
    <row r="237" spans="1:8" x14ac:dyDescent="0.25">
      <c r="A237" s="65">
        <v>42717</v>
      </c>
      <c r="B237" s="66">
        <v>8221.7999999999993</v>
      </c>
      <c r="C237" s="66">
        <v>8196.15</v>
      </c>
      <c r="D237" s="66">
        <v>8228.85</v>
      </c>
      <c r="E237" s="66">
        <v>8155.8</v>
      </c>
      <c r="F237" s="67" t="s">
        <v>2455</v>
      </c>
      <c r="G237" s="68">
        <v>6.1999999999999998E-3</v>
      </c>
      <c r="H237" s="64"/>
    </row>
    <row r="238" spans="1:8" x14ac:dyDescent="0.25">
      <c r="A238" s="65">
        <v>42718</v>
      </c>
      <c r="B238" s="66">
        <v>8182.45</v>
      </c>
      <c r="C238" s="66">
        <v>8229.35</v>
      </c>
      <c r="D238" s="66">
        <v>8229.4</v>
      </c>
      <c r="E238" s="66">
        <v>8165.1</v>
      </c>
      <c r="F238" s="67" t="s">
        <v>2454</v>
      </c>
      <c r="G238" s="68">
        <v>-4.7999999999999996E-3</v>
      </c>
      <c r="H238" s="64"/>
    </row>
    <row r="239" spans="1:8" x14ac:dyDescent="0.25">
      <c r="A239" s="65">
        <v>42719</v>
      </c>
      <c r="B239" s="66">
        <v>8153.6</v>
      </c>
      <c r="C239" s="66">
        <v>8128.4</v>
      </c>
      <c r="D239" s="66">
        <v>8225.9</v>
      </c>
      <c r="E239" s="66">
        <v>8121.95</v>
      </c>
      <c r="F239" s="67" t="s">
        <v>2453</v>
      </c>
      <c r="G239" s="68">
        <v>-3.5000000000000001E-3</v>
      </c>
      <c r="H239" s="64"/>
    </row>
    <row r="240" spans="1:8" x14ac:dyDescent="0.25">
      <c r="A240" s="65">
        <v>42720</v>
      </c>
      <c r="B240" s="66">
        <v>8139.45</v>
      </c>
      <c r="C240" s="66">
        <v>8178.2</v>
      </c>
      <c r="D240" s="66">
        <v>8178.7</v>
      </c>
      <c r="E240" s="66">
        <v>8127.45</v>
      </c>
      <c r="F240" s="67" t="s">
        <v>2452</v>
      </c>
      <c r="G240" s="68">
        <v>-1.6999999999999999E-3</v>
      </c>
      <c r="H240" s="64"/>
    </row>
    <row r="241" spans="1:8" x14ac:dyDescent="0.25">
      <c r="A241" s="65">
        <v>42723</v>
      </c>
      <c r="B241" s="66">
        <v>8104.35</v>
      </c>
      <c r="C241" s="66">
        <v>8126</v>
      </c>
      <c r="D241" s="66">
        <v>8132.5</v>
      </c>
      <c r="E241" s="66">
        <v>8094.85</v>
      </c>
      <c r="F241" s="67" t="s">
        <v>2451</v>
      </c>
      <c r="G241" s="68">
        <v>-4.3E-3</v>
      </c>
      <c r="H241" s="64"/>
    </row>
    <row r="242" spans="1:8" x14ac:dyDescent="0.25">
      <c r="A242" s="65">
        <v>42724</v>
      </c>
      <c r="B242" s="66">
        <v>8082.4</v>
      </c>
      <c r="C242" s="66">
        <v>8110.6</v>
      </c>
      <c r="D242" s="66">
        <v>8124.1</v>
      </c>
      <c r="E242" s="66">
        <v>8062.75</v>
      </c>
      <c r="F242" s="67" t="s">
        <v>2450</v>
      </c>
      <c r="G242" s="68">
        <v>-2.7000000000000001E-3</v>
      </c>
      <c r="H242" s="64"/>
    </row>
    <row r="243" spans="1:8" x14ac:dyDescent="0.25">
      <c r="A243" s="65">
        <v>42725</v>
      </c>
      <c r="B243" s="66">
        <v>8061.3</v>
      </c>
      <c r="C243" s="66">
        <v>8105.85</v>
      </c>
      <c r="D243" s="66">
        <v>8112.55</v>
      </c>
      <c r="E243" s="66">
        <v>8053.25</v>
      </c>
      <c r="F243" s="67" t="s">
        <v>2449</v>
      </c>
      <c r="G243" s="68">
        <v>-2.5999999999999999E-3</v>
      </c>
      <c r="H243" s="64"/>
    </row>
    <row r="244" spans="1:8" x14ac:dyDescent="0.25">
      <c r="A244" s="65">
        <v>42726</v>
      </c>
      <c r="B244" s="66">
        <v>7979.1</v>
      </c>
      <c r="C244" s="66">
        <v>8043.85</v>
      </c>
      <c r="D244" s="66">
        <v>8046.45</v>
      </c>
      <c r="E244" s="66">
        <v>7964.95</v>
      </c>
      <c r="F244" s="67" t="s">
        <v>2448</v>
      </c>
      <c r="G244" s="68">
        <v>-1.0200000000000001E-2</v>
      </c>
      <c r="H244" s="64"/>
    </row>
    <row r="245" spans="1:8" x14ac:dyDescent="0.25">
      <c r="A245" s="65">
        <v>42727</v>
      </c>
      <c r="B245" s="66">
        <v>7985.75</v>
      </c>
      <c r="C245" s="66">
        <v>7972.5</v>
      </c>
      <c r="D245" s="66">
        <v>8022.6</v>
      </c>
      <c r="E245" s="66">
        <v>7942.05</v>
      </c>
      <c r="F245" s="67" t="s">
        <v>2447</v>
      </c>
      <c r="G245" s="68">
        <v>8.0000000000000004E-4</v>
      </c>
      <c r="H245" s="64"/>
    </row>
    <row r="246" spans="1:8" x14ac:dyDescent="0.25">
      <c r="A246" s="65">
        <v>42730</v>
      </c>
      <c r="B246" s="66">
        <v>7908.25</v>
      </c>
      <c r="C246" s="66">
        <v>7965.1</v>
      </c>
      <c r="D246" s="66">
        <v>7970.05</v>
      </c>
      <c r="E246" s="66">
        <v>7893.8</v>
      </c>
      <c r="F246" s="67" t="s">
        <v>2446</v>
      </c>
      <c r="G246" s="68">
        <v>-9.7000000000000003E-3</v>
      </c>
      <c r="H246" s="64"/>
    </row>
    <row r="247" spans="1:8" x14ac:dyDescent="0.25">
      <c r="A247" s="65">
        <v>42731</v>
      </c>
      <c r="B247" s="66">
        <v>8032.85</v>
      </c>
      <c r="C247" s="66">
        <v>7915.05</v>
      </c>
      <c r="D247" s="66">
        <v>8044.65</v>
      </c>
      <c r="E247" s="66">
        <v>7903.7</v>
      </c>
      <c r="F247" s="67" t="s">
        <v>2445</v>
      </c>
      <c r="G247" s="68">
        <v>1.5800000000000002E-2</v>
      </c>
      <c r="H247" s="64"/>
    </row>
    <row r="248" spans="1:8" x14ac:dyDescent="0.25">
      <c r="A248" s="65">
        <v>42732</v>
      </c>
      <c r="B248" s="66">
        <v>8034.85</v>
      </c>
      <c r="C248" s="66">
        <v>8047.55</v>
      </c>
      <c r="D248" s="66">
        <v>8100.55</v>
      </c>
      <c r="E248" s="66">
        <v>8028.4</v>
      </c>
      <c r="F248" s="67" t="s">
        <v>2444</v>
      </c>
      <c r="G248" s="68">
        <v>2.0000000000000001E-4</v>
      </c>
      <c r="H248" s="64"/>
    </row>
    <row r="249" spans="1:8" x14ac:dyDescent="0.25">
      <c r="A249" s="65">
        <v>42733</v>
      </c>
      <c r="B249" s="66">
        <v>8103.6</v>
      </c>
      <c r="C249" s="66">
        <v>8030.6</v>
      </c>
      <c r="D249" s="66">
        <v>8111.1</v>
      </c>
      <c r="E249" s="66">
        <v>8020.8</v>
      </c>
      <c r="F249" s="67" t="s">
        <v>2443</v>
      </c>
      <c r="G249" s="68">
        <v>8.6E-3</v>
      </c>
      <c r="H249" s="64"/>
    </row>
    <row r="250" spans="1:8" x14ac:dyDescent="0.25">
      <c r="A250" s="65">
        <v>42734</v>
      </c>
      <c r="B250" s="66">
        <v>8185.8</v>
      </c>
      <c r="C250" s="66">
        <v>8119.65</v>
      </c>
      <c r="D250" s="66">
        <v>8197</v>
      </c>
      <c r="E250" s="66">
        <v>8114.75</v>
      </c>
      <c r="F250" s="67" t="s">
        <v>2442</v>
      </c>
      <c r="G250" s="68">
        <v>1.01E-2</v>
      </c>
      <c r="H250" s="64"/>
    </row>
    <row r="251" spans="1:8" x14ac:dyDescent="0.25">
      <c r="A251" s="65">
        <v>42737</v>
      </c>
      <c r="B251" s="66">
        <v>8179.5</v>
      </c>
      <c r="C251" s="66">
        <v>8210.1</v>
      </c>
      <c r="D251" s="66">
        <v>8212</v>
      </c>
      <c r="E251" s="66">
        <v>8133.8</v>
      </c>
      <c r="F251" s="67" t="s">
        <v>2441</v>
      </c>
      <c r="G251" s="68">
        <v>-8.0000000000000004E-4</v>
      </c>
      <c r="H251" s="64"/>
    </row>
    <row r="252" spans="1:8" x14ac:dyDescent="0.25">
      <c r="A252" s="65">
        <v>42738</v>
      </c>
      <c r="B252" s="66">
        <v>8192.25</v>
      </c>
      <c r="C252" s="66">
        <v>8196.0499999999993</v>
      </c>
      <c r="D252" s="66">
        <v>8219.1</v>
      </c>
      <c r="E252" s="66">
        <v>8148.6</v>
      </c>
      <c r="F252" s="67" t="s">
        <v>2440</v>
      </c>
      <c r="G252" s="68">
        <v>1.6000000000000001E-3</v>
      </c>
      <c r="H252" s="64"/>
    </row>
    <row r="253" spans="1:8" x14ac:dyDescent="0.25">
      <c r="A253" s="65">
        <v>42739</v>
      </c>
      <c r="B253" s="66">
        <v>8190.5</v>
      </c>
      <c r="C253" s="66">
        <v>8202.65</v>
      </c>
      <c r="D253" s="66">
        <v>8218.5</v>
      </c>
      <c r="E253" s="66">
        <v>8180.9</v>
      </c>
      <c r="F253" s="67" t="s">
        <v>2439</v>
      </c>
      <c r="G253" s="68">
        <v>-2.0000000000000001E-4</v>
      </c>
      <c r="H253" s="64"/>
    </row>
    <row r="254" spans="1:8" x14ac:dyDescent="0.25">
      <c r="A254" s="65">
        <v>42740</v>
      </c>
      <c r="B254" s="66">
        <v>8273.7999999999993</v>
      </c>
      <c r="C254" s="66">
        <v>8226.65</v>
      </c>
      <c r="D254" s="66">
        <v>8282.65</v>
      </c>
      <c r="E254" s="66">
        <v>8223.7000000000007</v>
      </c>
      <c r="F254" s="67" t="s">
        <v>2438</v>
      </c>
      <c r="G254" s="68">
        <v>1.0200000000000001E-2</v>
      </c>
      <c r="H254" s="64"/>
    </row>
    <row r="255" spans="1:8" x14ac:dyDescent="0.25">
      <c r="A255" s="65">
        <v>42741</v>
      </c>
      <c r="B255" s="66">
        <v>8243.7999999999993</v>
      </c>
      <c r="C255" s="66">
        <v>8281.85</v>
      </c>
      <c r="D255" s="66">
        <v>8306.85</v>
      </c>
      <c r="E255" s="66">
        <v>8233.25</v>
      </c>
      <c r="F255" s="67" t="s">
        <v>2437</v>
      </c>
      <c r="G255" s="68">
        <v>-3.5999999999999999E-3</v>
      </c>
      <c r="H255" s="64"/>
    </row>
    <row r="256" spans="1:8" x14ac:dyDescent="0.25">
      <c r="A256" s="65">
        <v>42744</v>
      </c>
      <c r="B256" s="66">
        <v>8236.0499999999993</v>
      </c>
      <c r="C256" s="66">
        <v>8259.35</v>
      </c>
      <c r="D256" s="66">
        <v>8263</v>
      </c>
      <c r="E256" s="66">
        <v>8227.75</v>
      </c>
      <c r="F256" s="67" t="s">
        <v>2436</v>
      </c>
      <c r="G256" s="68">
        <v>-8.9999999999999998E-4</v>
      </c>
      <c r="H256" s="64"/>
    </row>
    <row r="257" spans="1:8" x14ac:dyDescent="0.25">
      <c r="A257" s="65">
        <v>42745</v>
      </c>
      <c r="B257" s="66">
        <v>8288.6</v>
      </c>
      <c r="C257" s="66">
        <v>8262.7000000000007</v>
      </c>
      <c r="D257" s="66">
        <v>8293.7999999999993</v>
      </c>
      <c r="E257" s="66">
        <v>8261</v>
      </c>
      <c r="F257" s="67" t="s">
        <v>2435</v>
      </c>
      <c r="G257" s="68">
        <v>6.4000000000000003E-3</v>
      </c>
      <c r="H257" s="64"/>
    </row>
    <row r="258" spans="1:8" x14ac:dyDescent="0.25">
      <c r="A258" s="65">
        <v>42746</v>
      </c>
      <c r="B258" s="66">
        <v>8380.65</v>
      </c>
      <c r="C258" s="66">
        <v>8327.7999999999993</v>
      </c>
      <c r="D258" s="66">
        <v>8389</v>
      </c>
      <c r="E258" s="66">
        <v>8322.25</v>
      </c>
      <c r="F258" s="67" t="s">
        <v>2434</v>
      </c>
      <c r="G258" s="68">
        <v>1.11E-2</v>
      </c>
      <c r="H258" s="64"/>
    </row>
    <row r="259" spans="1:8" x14ac:dyDescent="0.25">
      <c r="A259" s="65">
        <v>42747</v>
      </c>
      <c r="B259" s="66">
        <v>8407.2000000000007</v>
      </c>
      <c r="C259" s="66">
        <v>8391.0499999999993</v>
      </c>
      <c r="D259" s="66">
        <v>8417.2000000000007</v>
      </c>
      <c r="E259" s="66">
        <v>8382.2999999999993</v>
      </c>
      <c r="F259" s="67" t="s">
        <v>2433</v>
      </c>
      <c r="G259" s="68">
        <v>3.2000000000000002E-3</v>
      </c>
      <c r="H259" s="64"/>
    </row>
    <row r="260" spans="1:8" x14ac:dyDescent="0.25">
      <c r="A260" s="65">
        <v>42748</v>
      </c>
      <c r="B260" s="66">
        <v>8400.35</v>
      </c>
      <c r="C260" s="66">
        <v>8457.65</v>
      </c>
      <c r="D260" s="66">
        <v>8461.0499999999993</v>
      </c>
      <c r="E260" s="66">
        <v>8373.15</v>
      </c>
      <c r="F260" s="67" t="s">
        <v>2432</v>
      </c>
      <c r="G260" s="68">
        <v>-8.0000000000000004E-4</v>
      </c>
      <c r="H260" s="64"/>
    </row>
    <row r="261" spans="1:8" x14ac:dyDescent="0.25">
      <c r="A261" s="65">
        <v>42751</v>
      </c>
      <c r="B261" s="66">
        <v>8412.7999999999993</v>
      </c>
      <c r="C261" s="66">
        <v>8390.9500000000007</v>
      </c>
      <c r="D261" s="66">
        <v>8426.7000000000007</v>
      </c>
      <c r="E261" s="66">
        <v>8374.4</v>
      </c>
      <c r="F261" s="67" t="s">
        <v>2431</v>
      </c>
      <c r="G261" s="68">
        <v>1.5E-3</v>
      </c>
      <c r="H261" s="64"/>
    </row>
    <row r="262" spans="1:8" x14ac:dyDescent="0.25">
      <c r="A262" s="65">
        <v>42752</v>
      </c>
      <c r="B262" s="66">
        <v>8398</v>
      </c>
      <c r="C262" s="66">
        <v>8415.0499999999993</v>
      </c>
      <c r="D262" s="66">
        <v>8440.9</v>
      </c>
      <c r="E262" s="66">
        <v>8378.2999999999993</v>
      </c>
      <c r="F262" s="67" t="s">
        <v>2430</v>
      </c>
      <c r="G262" s="68">
        <v>-1.8E-3</v>
      </c>
      <c r="H262" s="64"/>
    </row>
    <row r="263" spans="1:8" x14ac:dyDescent="0.25">
      <c r="A263" s="65">
        <v>42753</v>
      </c>
      <c r="B263" s="66">
        <v>8417</v>
      </c>
      <c r="C263" s="66">
        <v>8403.85</v>
      </c>
      <c r="D263" s="66">
        <v>8460.2999999999993</v>
      </c>
      <c r="E263" s="66">
        <v>8397.4</v>
      </c>
      <c r="F263" s="67" t="s">
        <v>2429</v>
      </c>
      <c r="G263" s="68">
        <v>2.3E-3</v>
      </c>
      <c r="H263" s="64"/>
    </row>
    <row r="264" spans="1:8" x14ac:dyDescent="0.25">
      <c r="A264" s="65">
        <v>42754</v>
      </c>
      <c r="B264" s="66">
        <v>8435.1</v>
      </c>
      <c r="C264" s="66">
        <v>8418.4</v>
      </c>
      <c r="D264" s="66">
        <v>8445.15</v>
      </c>
      <c r="E264" s="66">
        <v>8404.0499999999993</v>
      </c>
      <c r="F264" s="67" t="s">
        <v>2428</v>
      </c>
      <c r="G264" s="68">
        <v>2.2000000000000001E-3</v>
      </c>
      <c r="H264" s="64"/>
    </row>
    <row r="265" spans="1:8" x14ac:dyDescent="0.25">
      <c r="A265" s="65">
        <v>42755</v>
      </c>
      <c r="B265" s="66">
        <v>8349.35</v>
      </c>
      <c r="C265" s="66">
        <v>8404.35</v>
      </c>
      <c r="D265" s="66">
        <v>8423.65</v>
      </c>
      <c r="E265" s="66">
        <v>8340.9500000000007</v>
      </c>
      <c r="F265" s="67" t="s">
        <v>2427</v>
      </c>
      <c r="G265" s="68">
        <v>-1.0200000000000001E-2</v>
      </c>
      <c r="H265" s="64"/>
    </row>
    <row r="266" spans="1:8" x14ac:dyDescent="0.25">
      <c r="A266" s="65">
        <v>42758</v>
      </c>
      <c r="B266" s="66">
        <v>8391.5</v>
      </c>
      <c r="C266" s="66">
        <v>8329.6</v>
      </c>
      <c r="D266" s="66">
        <v>8404.15</v>
      </c>
      <c r="E266" s="66">
        <v>8327.2000000000007</v>
      </c>
      <c r="F266" s="67" t="s">
        <v>2426</v>
      </c>
      <c r="G266" s="68">
        <v>5.0000000000000001E-3</v>
      </c>
      <c r="H266" s="64"/>
    </row>
    <row r="267" spans="1:8" x14ac:dyDescent="0.25">
      <c r="A267" s="65">
        <v>42759</v>
      </c>
      <c r="B267" s="66">
        <v>8475.7999999999993</v>
      </c>
      <c r="C267" s="66">
        <v>8407.0499999999993</v>
      </c>
      <c r="D267" s="66">
        <v>8480.9500000000007</v>
      </c>
      <c r="E267" s="66">
        <v>8398.15</v>
      </c>
      <c r="F267" s="67" t="s">
        <v>2425</v>
      </c>
      <c r="G267" s="68">
        <v>0.01</v>
      </c>
      <c r="H267" s="64"/>
    </row>
    <row r="268" spans="1:8" x14ac:dyDescent="0.25">
      <c r="A268" s="65">
        <v>42760</v>
      </c>
      <c r="B268" s="66">
        <v>8602.75</v>
      </c>
      <c r="C268" s="66">
        <v>8499.4500000000007</v>
      </c>
      <c r="D268" s="66">
        <v>8612.6</v>
      </c>
      <c r="E268" s="66">
        <v>8493.9500000000007</v>
      </c>
      <c r="F268" s="67" t="s">
        <v>2424</v>
      </c>
      <c r="G268" s="68">
        <v>1.4999999999999999E-2</v>
      </c>
      <c r="H268" s="64"/>
    </row>
    <row r="269" spans="1:8" x14ac:dyDescent="0.25">
      <c r="A269" s="65">
        <v>42762</v>
      </c>
      <c r="B269" s="66">
        <v>8641.25</v>
      </c>
      <c r="C269" s="66">
        <v>8610.5</v>
      </c>
      <c r="D269" s="66">
        <v>8672.7000000000007</v>
      </c>
      <c r="E269" s="66">
        <v>8606.9</v>
      </c>
      <c r="F269" s="67" t="s">
        <v>2423</v>
      </c>
      <c r="G269" s="68">
        <v>4.4999999999999997E-3</v>
      </c>
      <c r="H269" s="64"/>
    </row>
    <row r="270" spans="1:8" x14ac:dyDescent="0.25">
      <c r="A270" s="65">
        <v>42765</v>
      </c>
      <c r="B270" s="66">
        <v>8632.75</v>
      </c>
      <c r="C270" s="66">
        <v>8635.5499999999993</v>
      </c>
      <c r="D270" s="66">
        <v>8662.6</v>
      </c>
      <c r="E270" s="66">
        <v>8617.75</v>
      </c>
      <c r="F270" s="67" t="s">
        <v>2422</v>
      </c>
      <c r="G270" s="68">
        <v>-1E-3</v>
      </c>
      <c r="H270" s="64"/>
    </row>
    <row r="271" spans="1:8" x14ac:dyDescent="0.25">
      <c r="A271" s="65">
        <v>42766</v>
      </c>
      <c r="B271" s="66">
        <v>8561.2999999999993</v>
      </c>
      <c r="C271" s="66">
        <v>8629.4500000000007</v>
      </c>
      <c r="D271" s="66">
        <v>8631.75</v>
      </c>
      <c r="E271" s="66">
        <v>8552.4</v>
      </c>
      <c r="F271" s="67" t="s">
        <v>2421</v>
      </c>
      <c r="G271" s="68">
        <v>-8.3000000000000001E-3</v>
      </c>
      <c r="H271" s="64"/>
    </row>
    <row r="272" spans="1:8" x14ac:dyDescent="0.25">
      <c r="A272" s="65">
        <v>42767</v>
      </c>
      <c r="B272" s="66">
        <v>8716.4</v>
      </c>
      <c r="C272" s="66">
        <v>8570.35</v>
      </c>
      <c r="D272" s="66">
        <v>8722.4</v>
      </c>
      <c r="E272" s="66">
        <v>8537.5</v>
      </c>
      <c r="F272" s="67" t="s">
        <v>2420</v>
      </c>
      <c r="G272" s="68">
        <v>1.8100000000000002E-2</v>
      </c>
      <c r="H272" s="64"/>
    </row>
    <row r="273" spans="1:8" x14ac:dyDescent="0.25">
      <c r="A273" s="65">
        <v>42768</v>
      </c>
      <c r="B273" s="66">
        <v>8734.25</v>
      </c>
      <c r="C273" s="66">
        <v>8724.75</v>
      </c>
      <c r="D273" s="66">
        <v>8757.6</v>
      </c>
      <c r="E273" s="66">
        <v>8685.7999999999993</v>
      </c>
      <c r="F273" s="67" t="s">
        <v>2419</v>
      </c>
      <c r="G273" s="68">
        <v>2E-3</v>
      </c>
      <c r="H273" s="64"/>
    </row>
    <row r="274" spans="1:8" x14ac:dyDescent="0.25">
      <c r="A274" s="65">
        <v>42769</v>
      </c>
      <c r="B274" s="66">
        <v>8740.9500000000007</v>
      </c>
      <c r="C274" s="66">
        <v>8735.15</v>
      </c>
      <c r="D274" s="66">
        <v>8748.25</v>
      </c>
      <c r="E274" s="66">
        <v>8707.75</v>
      </c>
      <c r="F274" s="67" t="s">
        <v>2418</v>
      </c>
      <c r="G274" s="68">
        <v>8.0000000000000004E-4</v>
      </c>
      <c r="H274" s="64"/>
    </row>
    <row r="275" spans="1:8" x14ac:dyDescent="0.25">
      <c r="A275" s="65">
        <v>42772</v>
      </c>
      <c r="B275" s="66">
        <v>8801.0499999999993</v>
      </c>
      <c r="C275" s="66">
        <v>8785.4500000000007</v>
      </c>
      <c r="D275" s="66">
        <v>8814.1</v>
      </c>
      <c r="E275" s="66">
        <v>8770.2000000000007</v>
      </c>
      <c r="F275" s="67" t="s">
        <v>2417</v>
      </c>
      <c r="G275" s="68">
        <v>6.8999999999999999E-3</v>
      </c>
      <c r="H275" s="64"/>
    </row>
    <row r="276" spans="1:8" x14ac:dyDescent="0.25">
      <c r="A276" s="65">
        <v>42773</v>
      </c>
      <c r="B276" s="66">
        <v>8768.2999999999993</v>
      </c>
      <c r="C276" s="66">
        <v>8805.7000000000007</v>
      </c>
      <c r="D276" s="66">
        <v>8809.2999999999993</v>
      </c>
      <c r="E276" s="66">
        <v>8741.0499999999993</v>
      </c>
      <c r="F276" s="67" t="s">
        <v>2416</v>
      </c>
      <c r="G276" s="68">
        <v>-3.7000000000000002E-3</v>
      </c>
      <c r="H276" s="64"/>
    </row>
    <row r="277" spans="1:8" x14ac:dyDescent="0.25">
      <c r="A277" s="65">
        <v>42774</v>
      </c>
      <c r="B277" s="66">
        <v>8769.0499999999993</v>
      </c>
      <c r="C277" s="66">
        <v>8774.5499999999993</v>
      </c>
      <c r="D277" s="66">
        <v>8791.25</v>
      </c>
      <c r="E277" s="66">
        <v>8715</v>
      </c>
      <c r="F277" s="67" t="s">
        <v>2415</v>
      </c>
      <c r="G277" s="68">
        <v>1E-4</v>
      </c>
      <c r="H277" s="64"/>
    </row>
    <row r="278" spans="1:8" x14ac:dyDescent="0.25">
      <c r="A278" s="65">
        <v>42775</v>
      </c>
      <c r="B278" s="66">
        <v>8778.4</v>
      </c>
      <c r="C278" s="66">
        <v>8795.5499999999993</v>
      </c>
      <c r="D278" s="66">
        <v>8821.4</v>
      </c>
      <c r="E278" s="66">
        <v>8724.1</v>
      </c>
      <c r="F278" s="67" t="s">
        <v>2414</v>
      </c>
      <c r="G278" s="68">
        <v>1.1000000000000001E-3</v>
      </c>
      <c r="H278" s="64"/>
    </row>
    <row r="279" spans="1:8" x14ac:dyDescent="0.25">
      <c r="A279" s="65">
        <v>42776</v>
      </c>
      <c r="B279" s="66">
        <v>8793.5499999999993</v>
      </c>
      <c r="C279" s="66">
        <v>8812.35</v>
      </c>
      <c r="D279" s="66">
        <v>8822.1</v>
      </c>
      <c r="E279" s="66">
        <v>8771.2000000000007</v>
      </c>
      <c r="F279" s="67" t="s">
        <v>2413</v>
      </c>
      <c r="G279" s="68">
        <v>1.6999999999999999E-3</v>
      </c>
      <c r="H279" s="64"/>
    </row>
    <row r="280" spans="1:8" x14ac:dyDescent="0.25">
      <c r="A280" s="65">
        <v>42779</v>
      </c>
      <c r="B280" s="66">
        <v>8805.0499999999993</v>
      </c>
      <c r="C280" s="66">
        <v>8819.7999999999993</v>
      </c>
      <c r="D280" s="66">
        <v>8826.9</v>
      </c>
      <c r="E280" s="66">
        <v>8754.2000000000007</v>
      </c>
      <c r="F280" s="67" t="s">
        <v>2412</v>
      </c>
      <c r="G280" s="68">
        <v>1.2999999999999999E-3</v>
      </c>
      <c r="H280" s="64"/>
    </row>
    <row r="281" spans="1:8" x14ac:dyDescent="0.25">
      <c r="A281" s="65">
        <v>42780</v>
      </c>
      <c r="B281" s="66">
        <v>8792.2999999999993</v>
      </c>
      <c r="C281" s="66">
        <v>8819.9</v>
      </c>
      <c r="D281" s="66">
        <v>8820.4500000000007</v>
      </c>
      <c r="E281" s="66">
        <v>8772.5</v>
      </c>
      <c r="F281" s="67" t="s">
        <v>2411</v>
      </c>
      <c r="G281" s="68">
        <v>-1.4E-3</v>
      </c>
      <c r="H281" s="64"/>
    </row>
    <row r="282" spans="1:8" x14ac:dyDescent="0.25">
      <c r="A282" s="65">
        <v>42781</v>
      </c>
      <c r="B282" s="66">
        <v>8724.7000000000007</v>
      </c>
      <c r="C282" s="66">
        <v>8778.9500000000007</v>
      </c>
      <c r="D282" s="66">
        <v>8807.9</v>
      </c>
      <c r="E282" s="66">
        <v>8712.85</v>
      </c>
      <c r="F282" s="67" t="s">
        <v>2410</v>
      </c>
      <c r="G282" s="68">
        <v>-7.7000000000000002E-3</v>
      </c>
      <c r="H282" s="64"/>
    </row>
    <row r="283" spans="1:8" x14ac:dyDescent="0.25">
      <c r="A283" s="65">
        <v>42782</v>
      </c>
      <c r="B283" s="66">
        <v>8778</v>
      </c>
      <c r="C283" s="66">
        <v>8739</v>
      </c>
      <c r="D283" s="66">
        <v>8783.9500000000007</v>
      </c>
      <c r="E283" s="66">
        <v>8719.6</v>
      </c>
      <c r="F283" s="67" t="s">
        <v>2409</v>
      </c>
      <c r="G283" s="68">
        <v>6.1000000000000004E-3</v>
      </c>
      <c r="H283" s="64"/>
    </row>
    <row r="284" spans="1:8" x14ac:dyDescent="0.25">
      <c r="A284" s="65">
        <v>42783</v>
      </c>
      <c r="B284" s="66">
        <v>8821.7000000000007</v>
      </c>
      <c r="C284" s="66">
        <v>8883.7000000000007</v>
      </c>
      <c r="D284" s="66">
        <v>8896.4500000000007</v>
      </c>
      <c r="E284" s="66">
        <v>8804.25</v>
      </c>
      <c r="F284" s="67" t="s">
        <v>2408</v>
      </c>
      <c r="G284" s="68">
        <v>5.0000000000000001E-3</v>
      </c>
      <c r="H284" s="64"/>
    </row>
    <row r="285" spans="1:8" x14ac:dyDescent="0.25">
      <c r="A285" s="65">
        <v>42786</v>
      </c>
      <c r="B285" s="66">
        <v>8879.2000000000007</v>
      </c>
      <c r="C285" s="66">
        <v>8818.5499999999993</v>
      </c>
      <c r="D285" s="66">
        <v>8886.25</v>
      </c>
      <c r="E285" s="66">
        <v>8809.7999999999993</v>
      </c>
      <c r="F285" s="67" t="s">
        <v>2407</v>
      </c>
      <c r="G285" s="68">
        <v>6.4999999999999997E-3</v>
      </c>
      <c r="H285" s="64"/>
    </row>
    <row r="286" spans="1:8" x14ac:dyDescent="0.25">
      <c r="A286" s="65">
        <v>42787</v>
      </c>
      <c r="B286" s="66">
        <v>8907.85</v>
      </c>
      <c r="C286" s="66">
        <v>8890.75</v>
      </c>
      <c r="D286" s="66">
        <v>8920.7999999999993</v>
      </c>
      <c r="E286" s="66">
        <v>8860.9500000000007</v>
      </c>
      <c r="F286" s="67" t="s">
        <v>2406</v>
      </c>
      <c r="G286" s="68">
        <v>3.2000000000000002E-3</v>
      </c>
      <c r="H286" s="64"/>
    </row>
    <row r="287" spans="1:8" x14ac:dyDescent="0.25">
      <c r="A287" s="65">
        <v>42788</v>
      </c>
      <c r="B287" s="66">
        <v>8926.9</v>
      </c>
      <c r="C287" s="66">
        <v>8931.6</v>
      </c>
      <c r="D287" s="66">
        <v>8960.75</v>
      </c>
      <c r="E287" s="66">
        <v>8905.25</v>
      </c>
      <c r="F287" s="67" t="s">
        <v>2405</v>
      </c>
      <c r="G287" s="68">
        <v>2.0999999999999999E-3</v>
      </c>
      <c r="H287" s="64"/>
    </row>
    <row r="288" spans="1:8" x14ac:dyDescent="0.25">
      <c r="A288" s="65">
        <v>42789</v>
      </c>
      <c r="B288" s="66">
        <v>8939.5</v>
      </c>
      <c r="C288" s="66">
        <v>8956.4</v>
      </c>
      <c r="D288" s="66">
        <v>8982.15</v>
      </c>
      <c r="E288" s="66">
        <v>8927.5499999999993</v>
      </c>
      <c r="F288" s="67" t="s">
        <v>2404</v>
      </c>
      <c r="G288" s="68">
        <v>1.4E-3</v>
      </c>
      <c r="H288" s="64"/>
    </row>
    <row r="289" spans="1:8" x14ac:dyDescent="0.25">
      <c r="A289" s="65">
        <v>42793</v>
      </c>
      <c r="B289" s="66">
        <v>8896.7000000000007</v>
      </c>
      <c r="C289" s="66">
        <v>8943.7000000000007</v>
      </c>
      <c r="D289" s="66">
        <v>8951.7999999999993</v>
      </c>
      <c r="E289" s="66">
        <v>8888.65</v>
      </c>
      <c r="F289" s="67" t="s">
        <v>2403</v>
      </c>
      <c r="G289" s="68">
        <v>-4.7999999999999996E-3</v>
      </c>
      <c r="H289" s="64"/>
    </row>
    <row r="290" spans="1:8" x14ac:dyDescent="0.25">
      <c r="A290" s="65">
        <v>42794</v>
      </c>
      <c r="B290" s="66">
        <v>8879.6</v>
      </c>
      <c r="C290" s="66">
        <v>8898.9500000000007</v>
      </c>
      <c r="D290" s="66">
        <v>8914.75</v>
      </c>
      <c r="E290" s="66">
        <v>8867.6</v>
      </c>
      <c r="F290" s="67" t="s">
        <v>2402</v>
      </c>
      <c r="G290" s="68">
        <v>-1.9E-3</v>
      </c>
      <c r="H290" s="64"/>
    </row>
    <row r="291" spans="1:8" x14ac:dyDescent="0.25">
      <c r="A291" s="65">
        <v>42795</v>
      </c>
      <c r="B291" s="66">
        <v>8945.7999999999993</v>
      </c>
      <c r="C291" s="66">
        <v>8904.4</v>
      </c>
      <c r="D291" s="66">
        <v>8960.7999999999993</v>
      </c>
      <c r="E291" s="66">
        <v>8898.6</v>
      </c>
      <c r="F291" s="67" t="s">
        <v>2068</v>
      </c>
      <c r="G291" s="68">
        <v>7.4999999999999997E-3</v>
      </c>
      <c r="H291" s="64"/>
    </row>
    <row r="292" spans="1:8" x14ac:dyDescent="0.25">
      <c r="A292" s="65">
        <v>42796</v>
      </c>
      <c r="B292" s="66">
        <v>8899.75</v>
      </c>
      <c r="C292" s="66">
        <v>8982.85</v>
      </c>
      <c r="D292" s="66">
        <v>8992.5</v>
      </c>
      <c r="E292" s="66">
        <v>8879.7999999999993</v>
      </c>
      <c r="F292" s="67" t="s">
        <v>2401</v>
      </c>
      <c r="G292" s="68">
        <v>-5.1000000000000004E-3</v>
      </c>
      <c r="H292" s="64"/>
    </row>
    <row r="293" spans="1:8" x14ac:dyDescent="0.25">
      <c r="A293" s="65">
        <v>42797</v>
      </c>
      <c r="B293" s="66">
        <v>8897.5499999999993</v>
      </c>
      <c r="C293" s="66">
        <v>8883.5</v>
      </c>
      <c r="D293" s="66">
        <v>8907.1</v>
      </c>
      <c r="E293" s="66">
        <v>8860.1</v>
      </c>
      <c r="F293" s="67" t="s">
        <v>2400</v>
      </c>
      <c r="G293" s="68">
        <v>-2.0000000000000001E-4</v>
      </c>
      <c r="H293" s="64"/>
    </row>
    <row r="294" spans="1:8" x14ac:dyDescent="0.25">
      <c r="A294" s="65">
        <v>42800</v>
      </c>
      <c r="B294" s="66">
        <v>8963.4500000000007</v>
      </c>
      <c r="C294" s="66">
        <v>8915.1</v>
      </c>
      <c r="D294" s="66">
        <v>8967.7999999999993</v>
      </c>
      <c r="E294" s="66">
        <v>8914</v>
      </c>
      <c r="F294" s="67" t="s">
        <v>2399</v>
      </c>
      <c r="G294" s="68">
        <v>7.4000000000000003E-3</v>
      </c>
      <c r="H294" s="64"/>
    </row>
    <row r="295" spans="1:8" x14ac:dyDescent="0.25">
      <c r="A295" s="65">
        <v>42801</v>
      </c>
      <c r="B295" s="66">
        <v>8946.9</v>
      </c>
      <c r="C295" s="66">
        <v>8977.75</v>
      </c>
      <c r="D295" s="66">
        <v>8977.85</v>
      </c>
      <c r="E295" s="66">
        <v>8932.7999999999993</v>
      </c>
      <c r="F295" s="67" t="s">
        <v>2398</v>
      </c>
      <c r="G295" s="68">
        <v>-1.8E-3</v>
      </c>
      <c r="H295" s="64"/>
    </row>
    <row r="296" spans="1:8" x14ac:dyDescent="0.25">
      <c r="A296" s="65">
        <v>42802</v>
      </c>
      <c r="B296" s="66">
        <v>8924.2999999999993</v>
      </c>
      <c r="C296" s="66">
        <v>8950.7000000000007</v>
      </c>
      <c r="D296" s="66">
        <v>8957.0499999999993</v>
      </c>
      <c r="E296" s="66">
        <v>8891.9500000000007</v>
      </c>
      <c r="F296" s="67" t="s">
        <v>2397</v>
      </c>
      <c r="G296" s="68">
        <v>-2.5000000000000001E-3</v>
      </c>
      <c r="H296" s="64"/>
    </row>
    <row r="297" spans="1:8" x14ac:dyDescent="0.25">
      <c r="A297" s="65">
        <v>42803</v>
      </c>
      <c r="B297" s="66">
        <v>8927</v>
      </c>
      <c r="C297" s="66">
        <v>8914.5</v>
      </c>
      <c r="D297" s="66">
        <v>8945.7999999999993</v>
      </c>
      <c r="E297" s="66">
        <v>8899.5</v>
      </c>
      <c r="F297" s="67" t="s">
        <v>2396</v>
      </c>
      <c r="G297" s="68">
        <v>2.9999999999999997E-4</v>
      </c>
      <c r="H297" s="64"/>
    </row>
    <row r="298" spans="1:8" x14ac:dyDescent="0.25">
      <c r="A298" s="65">
        <v>42804</v>
      </c>
      <c r="B298" s="66">
        <v>8934.5499999999993</v>
      </c>
      <c r="C298" s="66">
        <v>8953.7000000000007</v>
      </c>
      <c r="D298" s="66">
        <v>8975.7000000000007</v>
      </c>
      <c r="E298" s="66">
        <v>8903.9500000000007</v>
      </c>
      <c r="F298" s="67" t="s">
        <v>2395</v>
      </c>
      <c r="G298" s="68">
        <v>8.0000000000000004E-4</v>
      </c>
      <c r="H298" s="64"/>
    </row>
    <row r="299" spans="1:8" x14ac:dyDescent="0.25">
      <c r="A299" s="65">
        <v>42808</v>
      </c>
      <c r="B299" s="66">
        <v>9087</v>
      </c>
      <c r="C299" s="66">
        <v>9091.65</v>
      </c>
      <c r="D299" s="66">
        <v>9122.75</v>
      </c>
      <c r="E299" s="66">
        <v>9060.5</v>
      </c>
      <c r="F299" s="67" t="s">
        <v>2394</v>
      </c>
      <c r="G299" s="68">
        <v>1.7100000000000001E-2</v>
      </c>
      <c r="H299" s="64"/>
    </row>
    <row r="300" spans="1:8" x14ac:dyDescent="0.25">
      <c r="A300" s="65">
        <v>42809</v>
      </c>
      <c r="B300" s="66">
        <v>9084.7999999999993</v>
      </c>
      <c r="C300" s="66">
        <v>9086.85</v>
      </c>
      <c r="D300" s="66">
        <v>9106.5499999999993</v>
      </c>
      <c r="E300" s="66">
        <v>9075.5</v>
      </c>
      <c r="F300" s="67" t="s">
        <v>2393</v>
      </c>
      <c r="G300" s="68">
        <v>-2.0000000000000001E-4</v>
      </c>
      <c r="H300" s="64"/>
    </row>
    <row r="301" spans="1:8" x14ac:dyDescent="0.25">
      <c r="A301" s="65">
        <v>42810</v>
      </c>
      <c r="B301" s="66">
        <v>9153.7000000000007</v>
      </c>
      <c r="C301" s="66">
        <v>9129.65</v>
      </c>
      <c r="D301" s="66">
        <v>9158.4500000000007</v>
      </c>
      <c r="E301" s="66">
        <v>9128.5499999999993</v>
      </c>
      <c r="F301" s="67" t="s">
        <v>932</v>
      </c>
      <c r="G301" s="68">
        <v>7.6E-3</v>
      </c>
      <c r="H301" s="64"/>
    </row>
    <row r="302" spans="1:8" x14ac:dyDescent="0.25">
      <c r="A302" s="65">
        <v>42811</v>
      </c>
      <c r="B302" s="66">
        <v>9160.0499999999993</v>
      </c>
      <c r="C302" s="66">
        <v>9207.7999999999993</v>
      </c>
      <c r="D302" s="66">
        <v>9218.4</v>
      </c>
      <c r="E302" s="66">
        <v>9147.6</v>
      </c>
      <c r="F302" s="67" t="s">
        <v>2392</v>
      </c>
      <c r="G302" s="68">
        <v>6.9999999999999999E-4</v>
      </c>
      <c r="H302" s="64"/>
    </row>
    <row r="303" spans="1:8" x14ac:dyDescent="0.25">
      <c r="A303" s="65">
        <v>42814</v>
      </c>
      <c r="B303" s="66">
        <v>9126.85</v>
      </c>
      <c r="C303" s="66">
        <v>9166.9500000000007</v>
      </c>
      <c r="D303" s="66">
        <v>9167.6</v>
      </c>
      <c r="E303" s="66">
        <v>9116.2999999999993</v>
      </c>
      <c r="F303" s="67" t="s">
        <v>2391</v>
      </c>
      <c r="G303" s="68">
        <v>-3.5999999999999999E-3</v>
      </c>
      <c r="H303" s="64"/>
    </row>
    <row r="304" spans="1:8" x14ac:dyDescent="0.25">
      <c r="A304" s="65">
        <v>42815</v>
      </c>
      <c r="B304" s="66">
        <v>9121.5</v>
      </c>
      <c r="C304" s="66">
        <v>9133.9500000000007</v>
      </c>
      <c r="D304" s="66">
        <v>9147.75</v>
      </c>
      <c r="E304" s="66">
        <v>9087.2000000000007</v>
      </c>
      <c r="F304" s="67" t="s">
        <v>2390</v>
      </c>
      <c r="G304" s="68">
        <v>-5.9999999999999995E-4</v>
      </c>
      <c r="H304" s="64"/>
    </row>
    <row r="305" spans="1:8" x14ac:dyDescent="0.25">
      <c r="A305" s="65">
        <v>42816</v>
      </c>
      <c r="B305" s="66">
        <v>9030.4500000000007</v>
      </c>
      <c r="C305" s="66">
        <v>9047.2000000000007</v>
      </c>
      <c r="D305" s="66">
        <v>9072.9</v>
      </c>
      <c r="E305" s="66">
        <v>9019.2999999999993</v>
      </c>
      <c r="F305" s="67" t="s">
        <v>2389</v>
      </c>
      <c r="G305" s="68">
        <v>-0.01</v>
      </c>
      <c r="H305" s="64"/>
    </row>
    <row r="306" spans="1:8" x14ac:dyDescent="0.25">
      <c r="A306" s="65">
        <v>42817</v>
      </c>
      <c r="B306" s="66">
        <v>9086.2999999999993</v>
      </c>
      <c r="C306" s="66">
        <v>9048.75</v>
      </c>
      <c r="D306" s="66">
        <v>9099.0499999999993</v>
      </c>
      <c r="E306" s="66">
        <v>9048.6</v>
      </c>
      <c r="F306" s="67" t="s">
        <v>2388</v>
      </c>
      <c r="G306" s="68">
        <v>6.1999999999999998E-3</v>
      </c>
      <c r="H306" s="64"/>
    </row>
    <row r="307" spans="1:8" x14ac:dyDescent="0.25">
      <c r="A307" s="65">
        <v>42818</v>
      </c>
      <c r="B307" s="66">
        <v>9108</v>
      </c>
      <c r="C307" s="66">
        <v>9104</v>
      </c>
      <c r="D307" s="66">
        <v>9133.5499999999993</v>
      </c>
      <c r="E307" s="66">
        <v>9089.4</v>
      </c>
      <c r="F307" s="67" t="s">
        <v>2387</v>
      </c>
      <c r="G307" s="68">
        <v>2.3999999999999998E-3</v>
      </c>
      <c r="H307" s="64"/>
    </row>
    <row r="308" spans="1:8" x14ac:dyDescent="0.25">
      <c r="A308" s="65">
        <v>42821</v>
      </c>
      <c r="B308" s="66">
        <v>9045.2000000000007</v>
      </c>
      <c r="C308" s="66">
        <v>9093.4500000000007</v>
      </c>
      <c r="D308" s="66">
        <v>9094.85</v>
      </c>
      <c r="E308" s="66">
        <v>9024.65</v>
      </c>
      <c r="F308" s="67" t="s">
        <v>2386</v>
      </c>
      <c r="G308" s="68">
        <v>-6.8999999999999999E-3</v>
      </c>
      <c r="H308" s="64"/>
    </row>
    <row r="309" spans="1:8" x14ac:dyDescent="0.25">
      <c r="A309" s="65">
        <v>42822</v>
      </c>
      <c r="B309" s="66">
        <v>9100.7999999999993</v>
      </c>
      <c r="C309" s="66">
        <v>9081.5</v>
      </c>
      <c r="D309" s="66">
        <v>9110.4</v>
      </c>
      <c r="E309" s="66">
        <v>9079.7999999999993</v>
      </c>
      <c r="F309" s="67" t="s">
        <v>2385</v>
      </c>
      <c r="G309" s="68">
        <v>6.1000000000000004E-3</v>
      </c>
      <c r="H309" s="64"/>
    </row>
    <row r="310" spans="1:8" x14ac:dyDescent="0.25">
      <c r="A310" s="65">
        <v>42823</v>
      </c>
      <c r="B310" s="66">
        <v>9143.7999999999993</v>
      </c>
      <c r="C310" s="66">
        <v>9128.7000000000007</v>
      </c>
      <c r="D310" s="66">
        <v>9153.15</v>
      </c>
      <c r="E310" s="66">
        <v>9109.1</v>
      </c>
      <c r="F310" s="67" t="s">
        <v>2384</v>
      </c>
      <c r="G310" s="68">
        <v>4.7000000000000002E-3</v>
      </c>
      <c r="H310" s="64"/>
    </row>
    <row r="311" spans="1:8" x14ac:dyDescent="0.25">
      <c r="A311" s="65">
        <v>42824</v>
      </c>
      <c r="B311" s="66">
        <v>9173.75</v>
      </c>
      <c r="C311" s="66">
        <v>9142.6</v>
      </c>
      <c r="D311" s="66">
        <v>9183.15</v>
      </c>
      <c r="E311" s="66">
        <v>9136.35</v>
      </c>
      <c r="F311" s="67" t="s">
        <v>2383</v>
      </c>
      <c r="G311" s="68">
        <v>3.3E-3</v>
      </c>
      <c r="H311" s="64"/>
    </row>
    <row r="312" spans="1:8" x14ac:dyDescent="0.25">
      <c r="A312" s="65">
        <v>42825</v>
      </c>
      <c r="B312" s="66">
        <v>9173.75</v>
      </c>
      <c r="C312" s="66">
        <v>9158.9</v>
      </c>
      <c r="D312" s="66">
        <v>9191.7000000000007</v>
      </c>
      <c r="E312" s="66">
        <v>9152.1</v>
      </c>
      <c r="F312" s="67" t="s">
        <v>2382</v>
      </c>
      <c r="G312" s="68">
        <v>0</v>
      </c>
      <c r="H312" s="64"/>
    </row>
    <row r="313" spans="1:8" x14ac:dyDescent="0.25">
      <c r="A313" s="65">
        <v>42828</v>
      </c>
      <c r="B313" s="66">
        <v>9237.85</v>
      </c>
      <c r="C313" s="66">
        <v>9220.6</v>
      </c>
      <c r="D313" s="66">
        <v>9245.35</v>
      </c>
      <c r="E313" s="66">
        <v>9192.4</v>
      </c>
      <c r="F313" s="67" t="s">
        <v>2381</v>
      </c>
      <c r="G313" s="68">
        <v>7.0000000000000001E-3</v>
      </c>
      <c r="H313" s="64"/>
    </row>
    <row r="314" spans="1:8" x14ac:dyDescent="0.25">
      <c r="A314" s="65">
        <v>42830</v>
      </c>
      <c r="B314" s="66">
        <v>9265.15</v>
      </c>
      <c r="C314" s="66">
        <v>9264.4</v>
      </c>
      <c r="D314" s="66">
        <v>9273.9</v>
      </c>
      <c r="E314" s="66">
        <v>9215.4</v>
      </c>
      <c r="F314" s="67" t="s">
        <v>2380</v>
      </c>
      <c r="G314" s="68">
        <v>3.0000000000000001E-3</v>
      </c>
      <c r="H314" s="64"/>
    </row>
    <row r="315" spans="1:8" x14ac:dyDescent="0.25">
      <c r="A315" s="65">
        <v>42831</v>
      </c>
      <c r="B315" s="66">
        <v>9261.9500000000007</v>
      </c>
      <c r="C315" s="66">
        <v>9245.7999999999993</v>
      </c>
      <c r="D315" s="66">
        <v>9267.9500000000007</v>
      </c>
      <c r="E315" s="66">
        <v>9218.85</v>
      </c>
      <c r="F315" s="67" t="s">
        <v>2379</v>
      </c>
      <c r="G315" s="68">
        <v>-2.9999999999999997E-4</v>
      </c>
      <c r="H315" s="64"/>
    </row>
    <row r="316" spans="1:8" x14ac:dyDescent="0.25">
      <c r="A316" s="65">
        <v>42832</v>
      </c>
      <c r="B316" s="66">
        <v>9198.2999999999993</v>
      </c>
      <c r="C316" s="66">
        <v>9223.7000000000007</v>
      </c>
      <c r="D316" s="66">
        <v>9250.5</v>
      </c>
      <c r="E316" s="66">
        <v>9188.1</v>
      </c>
      <c r="F316" s="67" t="s">
        <v>2378</v>
      </c>
      <c r="G316" s="68">
        <v>-6.8999999999999999E-3</v>
      </c>
      <c r="H316" s="64"/>
    </row>
    <row r="317" spans="1:8" x14ac:dyDescent="0.25">
      <c r="A317" s="65">
        <v>42835</v>
      </c>
      <c r="B317" s="66">
        <v>9181.4500000000007</v>
      </c>
      <c r="C317" s="66">
        <v>9225.6</v>
      </c>
      <c r="D317" s="66">
        <v>9225.65</v>
      </c>
      <c r="E317" s="66">
        <v>9174.85</v>
      </c>
      <c r="F317" s="67" t="s">
        <v>2377</v>
      </c>
      <c r="G317" s="68">
        <v>-1.8E-3</v>
      </c>
      <c r="H317" s="64"/>
    </row>
    <row r="318" spans="1:8" x14ac:dyDescent="0.25">
      <c r="A318" s="65">
        <v>42836</v>
      </c>
      <c r="B318" s="66">
        <v>9237</v>
      </c>
      <c r="C318" s="66">
        <v>9184.5499999999993</v>
      </c>
      <c r="D318" s="66">
        <v>9242.7000000000007</v>
      </c>
      <c r="E318" s="66">
        <v>9172.85</v>
      </c>
      <c r="F318" s="67" t="s">
        <v>2376</v>
      </c>
      <c r="G318" s="68">
        <v>6.1000000000000004E-3</v>
      </c>
      <c r="H318" s="64"/>
    </row>
    <row r="319" spans="1:8" x14ac:dyDescent="0.25">
      <c r="A319" s="65">
        <v>42837</v>
      </c>
      <c r="B319" s="66">
        <v>9203.4500000000007</v>
      </c>
      <c r="C319" s="66">
        <v>9242.5</v>
      </c>
      <c r="D319" s="66">
        <v>9246.4</v>
      </c>
      <c r="E319" s="66">
        <v>9161.7999999999993</v>
      </c>
      <c r="F319" s="67" t="s">
        <v>2375</v>
      </c>
      <c r="G319" s="68">
        <v>-3.5999999999999999E-3</v>
      </c>
      <c r="H319" s="64"/>
    </row>
    <row r="320" spans="1:8" x14ac:dyDescent="0.25">
      <c r="A320" s="65">
        <v>42838</v>
      </c>
      <c r="B320" s="66">
        <v>9150.7999999999993</v>
      </c>
      <c r="C320" s="66">
        <v>9202.5</v>
      </c>
      <c r="D320" s="66">
        <v>9202.65</v>
      </c>
      <c r="E320" s="66">
        <v>9144.9500000000007</v>
      </c>
      <c r="F320" s="67" t="s">
        <v>2374</v>
      </c>
      <c r="G320" s="68">
        <v>-5.7000000000000002E-3</v>
      </c>
      <c r="H320" s="64"/>
    </row>
    <row r="321" spans="1:8" x14ac:dyDescent="0.25">
      <c r="A321" s="65">
        <v>42842</v>
      </c>
      <c r="B321" s="66">
        <v>9139.2999999999993</v>
      </c>
      <c r="C321" s="66">
        <v>9144.75</v>
      </c>
      <c r="D321" s="66">
        <v>9160</v>
      </c>
      <c r="E321" s="66">
        <v>9120.25</v>
      </c>
      <c r="F321" s="67" t="s">
        <v>2373</v>
      </c>
      <c r="G321" s="68">
        <v>-1.2999999999999999E-3</v>
      </c>
      <c r="H321" s="64"/>
    </row>
    <row r="322" spans="1:8" x14ac:dyDescent="0.25">
      <c r="A322" s="65">
        <v>42843</v>
      </c>
      <c r="B322" s="66">
        <v>9105.15</v>
      </c>
      <c r="C322" s="66">
        <v>9163</v>
      </c>
      <c r="D322" s="66">
        <v>9217.9</v>
      </c>
      <c r="E322" s="66">
        <v>9095.4500000000007</v>
      </c>
      <c r="F322" s="67" t="s">
        <v>2372</v>
      </c>
      <c r="G322" s="68">
        <v>-3.7000000000000002E-3</v>
      </c>
      <c r="H322" s="64"/>
    </row>
    <row r="323" spans="1:8" x14ac:dyDescent="0.25">
      <c r="A323" s="65">
        <v>42844</v>
      </c>
      <c r="B323" s="66">
        <v>9103.5</v>
      </c>
      <c r="C323" s="66">
        <v>9112.2000000000007</v>
      </c>
      <c r="D323" s="66">
        <v>9120.5</v>
      </c>
      <c r="E323" s="66">
        <v>9075.15</v>
      </c>
      <c r="F323" s="67" t="s">
        <v>2371</v>
      </c>
      <c r="G323" s="68">
        <v>-2.0000000000000001E-4</v>
      </c>
      <c r="H323" s="64"/>
    </row>
    <row r="324" spans="1:8" x14ac:dyDescent="0.25">
      <c r="A324" s="65">
        <v>42845</v>
      </c>
      <c r="B324" s="66">
        <v>9136.4</v>
      </c>
      <c r="C324" s="66">
        <v>9108.1</v>
      </c>
      <c r="D324" s="66">
        <v>9143.9</v>
      </c>
      <c r="E324" s="66">
        <v>9102.65</v>
      </c>
      <c r="F324" s="67" t="s">
        <v>2370</v>
      </c>
      <c r="G324" s="68">
        <v>3.5999999999999999E-3</v>
      </c>
      <c r="H324" s="64"/>
    </row>
    <row r="325" spans="1:8" x14ac:dyDescent="0.25">
      <c r="A325" s="65">
        <v>42846</v>
      </c>
      <c r="B325" s="66">
        <v>9119.4</v>
      </c>
      <c r="C325" s="66">
        <v>9179.1</v>
      </c>
      <c r="D325" s="66">
        <v>9183.65</v>
      </c>
      <c r="E325" s="66">
        <v>9088.75</v>
      </c>
      <c r="F325" s="67" t="s">
        <v>2369</v>
      </c>
      <c r="G325" s="68">
        <v>-1.9E-3</v>
      </c>
      <c r="H325" s="64"/>
    </row>
    <row r="326" spans="1:8" x14ac:dyDescent="0.25">
      <c r="A326" s="65">
        <v>42849</v>
      </c>
      <c r="B326" s="66">
        <v>9217.9500000000007</v>
      </c>
      <c r="C326" s="66">
        <v>9135.35</v>
      </c>
      <c r="D326" s="66">
        <v>9225.4</v>
      </c>
      <c r="E326" s="66">
        <v>9130.5499999999993</v>
      </c>
      <c r="F326" s="67" t="s">
        <v>2368</v>
      </c>
      <c r="G326" s="68">
        <v>1.0800000000000001E-2</v>
      </c>
      <c r="H326" s="64"/>
    </row>
    <row r="327" spans="1:8" x14ac:dyDescent="0.25">
      <c r="A327" s="65">
        <v>42850</v>
      </c>
      <c r="B327" s="66">
        <v>9306.6</v>
      </c>
      <c r="C327" s="66">
        <v>9273.0499999999993</v>
      </c>
      <c r="D327" s="66">
        <v>9309.2000000000007</v>
      </c>
      <c r="E327" s="66">
        <v>9250.35</v>
      </c>
      <c r="F327" s="67" t="s">
        <v>2367</v>
      </c>
      <c r="G327" s="68">
        <v>9.5999999999999992E-3</v>
      </c>
      <c r="H327" s="64"/>
    </row>
    <row r="328" spans="1:8" x14ac:dyDescent="0.25">
      <c r="A328" s="65">
        <v>42851</v>
      </c>
      <c r="B328" s="66">
        <v>9351.85</v>
      </c>
      <c r="C328" s="66">
        <v>9336.2000000000007</v>
      </c>
      <c r="D328" s="66">
        <v>9367</v>
      </c>
      <c r="E328" s="66">
        <v>9301.35</v>
      </c>
      <c r="F328" s="67" t="s">
        <v>2366</v>
      </c>
      <c r="G328" s="68">
        <v>4.8999999999999998E-3</v>
      </c>
      <c r="H328" s="64"/>
    </row>
    <row r="329" spans="1:8" x14ac:dyDescent="0.25">
      <c r="A329" s="65">
        <v>42852</v>
      </c>
      <c r="B329" s="66">
        <v>9342.15</v>
      </c>
      <c r="C329" s="66">
        <v>9359.15</v>
      </c>
      <c r="D329" s="66">
        <v>9367.15</v>
      </c>
      <c r="E329" s="66">
        <v>9322.65</v>
      </c>
      <c r="F329" s="67" t="s">
        <v>2365</v>
      </c>
      <c r="G329" s="68">
        <v>-1E-3</v>
      </c>
      <c r="H329" s="64"/>
    </row>
    <row r="330" spans="1:8" x14ac:dyDescent="0.25">
      <c r="A330" s="65">
        <v>42853</v>
      </c>
      <c r="B330" s="66">
        <v>9304.0499999999993</v>
      </c>
      <c r="C330" s="66">
        <v>9340.9500000000007</v>
      </c>
      <c r="D330" s="66">
        <v>9342.65</v>
      </c>
      <c r="E330" s="66">
        <v>9282.25</v>
      </c>
      <c r="F330" s="67" t="s">
        <v>2364</v>
      </c>
      <c r="G330" s="68">
        <v>-4.1000000000000003E-3</v>
      </c>
      <c r="H330" s="64"/>
    </row>
    <row r="331" spans="1:8" x14ac:dyDescent="0.25">
      <c r="A331" s="65">
        <v>42857</v>
      </c>
      <c r="B331" s="66">
        <v>9313.7999999999993</v>
      </c>
      <c r="C331" s="66">
        <v>9339.85</v>
      </c>
      <c r="D331" s="66">
        <v>9352.5499999999993</v>
      </c>
      <c r="E331" s="66">
        <v>9269.9</v>
      </c>
      <c r="F331" s="67" t="s">
        <v>2363</v>
      </c>
      <c r="G331" s="68">
        <v>1E-3</v>
      </c>
      <c r="H331" s="64"/>
    </row>
    <row r="332" spans="1:8" x14ac:dyDescent="0.25">
      <c r="A332" s="65">
        <v>42858</v>
      </c>
      <c r="B332" s="66">
        <v>9311.9500000000007</v>
      </c>
      <c r="C332" s="66">
        <v>9344.7000000000007</v>
      </c>
      <c r="D332" s="66">
        <v>9346.2999999999993</v>
      </c>
      <c r="E332" s="66">
        <v>9298.4</v>
      </c>
      <c r="F332" s="67" t="s">
        <v>2362</v>
      </c>
      <c r="G332" s="68">
        <v>-2.0000000000000001E-4</v>
      </c>
      <c r="H332" s="64"/>
    </row>
    <row r="333" spans="1:8" x14ac:dyDescent="0.25">
      <c r="A333" s="65">
        <v>42859</v>
      </c>
      <c r="B333" s="66">
        <v>9359.9</v>
      </c>
      <c r="C333" s="66">
        <v>9360.9500000000007</v>
      </c>
      <c r="D333" s="66">
        <v>9365.65</v>
      </c>
      <c r="E333" s="66">
        <v>9323.25</v>
      </c>
      <c r="F333" s="67" t="s">
        <v>716</v>
      </c>
      <c r="G333" s="68">
        <v>5.1000000000000004E-3</v>
      </c>
      <c r="H333" s="64"/>
    </row>
    <row r="334" spans="1:8" x14ac:dyDescent="0.25">
      <c r="A334" s="65">
        <v>42860</v>
      </c>
      <c r="B334" s="66">
        <v>9285.2999999999993</v>
      </c>
      <c r="C334" s="66">
        <v>9374.5499999999993</v>
      </c>
      <c r="D334" s="66">
        <v>9377.1</v>
      </c>
      <c r="E334" s="66">
        <v>9272</v>
      </c>
      <c r="F334" s="67" t="s">
        <v>2361</v>
      </c>
      <c r="G334" s="68">
        <v>-8.0000000000000002E-3</v>
      </c>
      <c r="H334" s="64"/>
    </row>
    <row r="335" spans="1:8" x14ac:dyDescent="0.25">
      <c r="A335" s="65">
        <v>42863</v>
      </c>
      <c r="B335" s="66">
        <v>9314.0499999999993</v>
      </c>
      <c r="C335" s="66">
        <v>9311.4500000000007</v>
      </c>
      <c r="D335" s="66">
        <v>9338.7000000000007</v>
      </c>
      <c r="E335" s="66">
        <v>9297.9500000000007</v>
      </c>
      <c r="F335" s="67" t="s">
        <v>2360</v>
      </c>
      <c r="G335" s="68">
        <v>3.0999999999999999E-3</v>
      </c>
      <c r="H335" s="64"/>
    </row>
    <row r="336" spans="1:8" x14ac:dyDescent="0.25">
      <c r="A336" s="65">
        <v>42864</v>
      </c>
      <c r="B336" s="66">
        <v>9316.85</v>
      </c>
      <c r="C336" s="66">
        <v>9337.35</v>
      </c>
      <c r="D336" s="66">
        <v>9338.9500000000007</v>
      </c>
      <c r="E336" s="66">
        <v>9307.7000000000007</v>
      </c>
      <c r="F336" s="67" t="s">
        <v>2359</v>
      </c>
      <c r="G336" s="68">
        <v>2.9999999999999997E-4</v>
      </c>
      <c r="H336" s="64"/>
    </row>
    <row r="337" spans="1:8" x14ac:dyDescent="0.25">
      <c r="A337" s="65">
        <v>42865</v>
      </c>
      <c r="B337" s="66">
        <v>9407.2999999999993</v>
      </c>
      <c r="C337" s="66">
        <v>9339.65</v>
      </c>
      <c r="D337" s="66">
        <v>9414.75</v>
      </c>
      <c r="E337" s="66">
        <v>9336</v>
      </c>
      <c r="F337" s="67" t="s">
        <v>2358</v>
      </c>
      <c r="G337" s="68">
        <v>9.7000000000000003E-3</v>
      </c>
      <c r="H337" s="64"/>
    </row>
    <row r="338" spans="1:8" x14ac:dyDescent="0.25">
      <c r="A338" s="65">
        <v>42866</v>
      </c>
      <c r="B338" s="66">
        <v>9422.4</v>
      </c>
      <c r="C338" s="66">
        <v>9448.6</v>
      </c>
      <c r="D338" s="66">
        <v>9450.65</v>
      </c>
      <c r="E338" s="66">
        <v>9411.2999999999993</v>
      </c>
      <c r="F338" s="67" t="s">
        <v>2357</v>
      </c>
      <c r="G338" s="68">
        <v>1.6000000000000001E-3</v>
      </c>
      <c r="H338" s="64"/>
    </row>
    <row r="339" spans="1:8" x14ac:dyDescent="0.25">
      <c r="A339" s="65">
        <v>42867</v>
      </c>
      <c r="B339" s="66">
        <v>9400.9</v>
      </c>
      <c r="C339" s="66">
        <v>9436.65</v>
      </c>
      <c r="D339" s="66">
        <v>9437.75</v>
      </c>
      <c r="E339" s="66">
        <v>9372.5499999999993</v>
      </c>
      <c r="F339" s="67" t="s">
        <v>2356</v>
      </c>
      <c r="G339" s="68">
        <v>-2.3E-3</v>
      </c>
      <c r="H339" s="64"/>
    </row>
    <row r="340" spans="1:8" x14ac:dyDescent="0.25">
      <c r="A340" s="65">
        <v>42870</v>
      </c>
      <c r="B340" s="66">
        <v>9445.4</v>
      </c>
      <c r="C340" s="66">
        <v>9433.5499999999993</v>
      </c>
      <c r="D340" s="66">
        <v>9449.25</v>
      </c>
      <c r="E340" s="66">
        <v>9423.1</v>
      </c>
      <c r="F340" s="67" t="s">
        <v>2355</v>
      </c>
      <c r="G340" s="68">
        <v>4.7000000000000002E-3</v>
      </c>
      <c r="H340" s="64"/>
    </row>
    <row r="341" spans="1:8" x14ac:dyDescent="0.25">
      <c r="A341" s="65">
        <v>42871</v>
      </c>
      <c r="B341" s="66">
        <v>9512.25</v>
      </c>
      <c r="C341" s="66">
        <v>9461</v>
      </c>
      <c r="D341" s="66">
        <v>9517.2000000000007</v>
      </c>
      <c r="E341" s="66">
        <v>9456.35</v>
      </c>
      <c r="F341" s="67" t="s">
        <v>2354</v>
      </c>
      <c r="G341" s="68">
        <v>7.1000000000000004E-3</v>
      </c>
      <c r="H341" s="64"/>
    </row>
    <row r="342" spans="1:8" x14ac:dyDescent="0.25">
      <c r="A342" s="65">
        <v>42872</v>
      </c>
      <c r="B342" s="66">
        <v>9525.75</v>
      </c>
      <c r="C342" s="66">
        <v>9517.6</v>
      </c>
      <c r="D342" s="66">
        <v>9532.6</v>
      </c>
      <c r="E342" s="66">
        <v>9486.1</v>
      </c>
      <c r="F342" s="67" t="s">
        <v>2353</v>
      </c>
      <c r="G342" s="68">
        <v>1.4E-3</v>
      </c>
      <c r="H342" s="64"/>
    </row>
    <row r="343" spans="1:8" x14ac:dyDescent="0.25">
      <c r="A343" s="65">
        <v>42873</v>
      </c>
      <c r="B343" s="66">
        <v>9429.4500000000007</v>
      </c>
      <c r="C343" s="66">
        <v>9453.2000000000007</v>
      </c>
      <c r="D343" s="66">
        <v>9489.1</v>
      </c>
      <c r="E343" s="66">
        <v>9418.1</v>
      </c>
      <c r="F343" s="67" t="s">
        <v>2352</v>
      </c>
      <c r="G343" s="68">
        <v>-1.01E-2</v>
      </c>
      <c r="H343" s="64"/>
    </row>
    <row r="344" spans="1:8" x14ac:dyDescent="0.25">
      <c r="A344" s="65">
        <v>42874</v>
      </c>
      <c r="B344" s="66">
        <v>9427.9</v>
      </c>
      <c r="C344" s="66">
        <v>9469.9</v>
      </c>
      <c r="D344" s="66">
        <v>9505.75</v>
      </c>
      <c r="E344" s="66">
        <v>9390.75</v>
      </c>
      <c r="F344" s="67" t="s">
        <v>2351</v>
      </c>
      <c r="G344" s="68">
        <v>-2.0000000000000001E-4</v>
      </c>
      <c r="H344" s="64"/>
    </row>
    <row r="345" spans="1:8" x14ac:dyDescent="0.25">
      <c r="A345" s="65">
        <v>42877</v>
      </c>
      <c r="B345" s="66">
        <v>9438.25</v>
      </c>
      <c r="C345" s="66">
        <v>9480.25</v>
      </c>
      <c r="D345" s="66">
        <v>9498.65</v>
      </c>
      <c r="E345" s="66">
        <v>9427.9</v>
      </c>
      <c r="F345" s="67" t="s">
        <v>2350</v>
      </c>
      <c r="G345" s="68">
        <v>1.1000000000000001E-3</v>
      </c>
      <c r="H345" s="64"/>
    </row>
    <row r="346" spans="1:8" x14ac:dyDescent="0.25">
      <c r="A346" s="65">
        <v>42878</v>
      </c>
      <c r="B346" s="66">
        <v>9386.15</v>
      </c>
      <c r="C346" s="66">
        <v>9445.0499999999993</v>
      </c>
      <c r="D346" s="66">
        <v>9448.0499999999993</v>
      </c>
      <c r="E346" s="66">
        <v>9370</v>
      </c>
      <c r="F346" s="67" t="s">
        <v>2349</v>
      </c>
      <c r="G346" s="68">
        <v>-5.4999999999999997E-3</v>
      </c>
      <c r="H346" s="64"/>
    </row>
    <row r="347" spans="1:8" x14ac:dyDescent="0.25">
      <c r="A347" s="65">
        <v>42879</v>
      </c>
      <c r="B347" s="66">
        <v>9360.5499999999993</v>
      </c>
      <c r="C347" s="66">
        <v>9410.9</v>
      </c>
      <c r="D347" s="66">
        <v>9431.9</v>
      </c>
      <c r="E347" s="66">
        <v>9341.65</v>
      </c>
      <c r="F347" s="67" t="s">
        <v>2348</v>
      </c>
      <c r="G347" s="68">
        <v>-2.7000000000000001E-3</v>
      </c>
      <c r="H347" s="64"/>
    </row>
    <row r="348" spans="1:8" x14ac:dyDescent="0.25">
      <c r="A348" s="65">
        <v>42880</v>
      </c>
      <c r="B348" s="66">
        <v>9509.75</v>
      </c>
      <c r="C348" s="66">
        <v>9384.0499999999993</v>
      </c>
      <c r="D348" s="66">
        <v>9523.2999999999993</v>
      </c>
      <c r="E348" s="66">
        <v>9379.2000000000007</v>
      </c>
      <c r="F348" s="67" t="s">
        <v>2347</v>
      </c>
      <c r="G348" s="68">
        <v>1.5900000000000001E-2</v>
      </c>
      <c r="H348" s="64"/>
    </row>
    <row r="349" spans="1:8" x14ac:dyDescent="0.25">
      <c r="A349" s="65">
        <v>42881</v>
      </c>
      <c r="B349" s="66">
        <v>9595.1</v>
      </c>
      <c r="C349" s="66">
        <v>9507.75</v>
      </c>
      <c r="D349" s="66">
        <v>9604.9</v>
      </c>
      <c r="E349" s="66">
        <v>9495.4</v>
      </c>
      <c r="F349" s="67" t="s">
        <v>2346</v>
      </c>
      <c r="G349" s="68">
        <v>8.9999999999999993E-3</v>
      </c>
      <c r="H349" s="64"/>
    </row>
    <row r="350" spans="1:8" x14ac:dyDescent="0.25">
      <c r="A350" s="65">
        <v>42884</v>
      </c>
      <c r="B350" s="66">
        <v>9604.9</v>
      </c>
      <c r="C350" s="66">
        <v>9560.0499999999993</v>
      </c>
      <c r="D350" s="66">
        <v>9637.75</v>
      </c>
      <c r="E350" s="66">
        <v>9547.7000000000007</v>
      </c>
      <c r="F350" s="67" t="s">
        <v>2345</v>
      </c>
      <c r="G350" s="68">
        <v>1E-3</v>
      </c>
      <c r="H350" s="64"/>
    </row>
    <row r="351" spans="1:8" x14ac:dyDescent="0.25">
      <c r="A351" s="65">
        <v>42885</v>
      </c>
      <c r="B351" s="66">
        <v>9624.5499999999993</v>
      </c>
      <c r="C351" s="66">
        <v>9590.65</v>
      </c>
      <c r="D351" s="66">
        <v>9635.2999999999993</v>
      </c>
      <c r="E351" s="66">
        <v>9581.2000000000007</v>
      </c>
      <c r="F351" s="67" t="s">
        <v>2344</v>
      </c>
      <c r="G351" s="68">
        <v>2E-3</v>
      </c>
      <c r="H351" s="64"/>
    </row>
    <row r="352" spans="1:8" x14ac:dyDescent="0.25">
      <c r="A352" s="65">
        <v>42886</v>
      </c>
      <c r="B352" s="66">
        <v>9621.25</v>
      </c>
      <c r="C352" s="66">
        <v>9636.5499999999993</v>
      </c>
      <c r="D352" s="66">
        <v>9649.6</v>
      </c>
      <c r="E352" s="66">
        <v>9609.25</v>
      </c>
      <c r="F352" s="67" t="s">
        <v>2343</v>
      </c>
      <c r="G352" s="68">
        <v>-2.9999999999999997E-4</v>
      </c>
      <c r="H352" s="64"/>
    </row>
    <row r="353" spans="1:8" x14ac:dyDescent="0.25">
      <c r="A353" s="65">
        <v>42887</v>
      </c>
      <c r="B353" s="66">
        <v>9616.1</v>
      </c>
      <c r="C353" s="66">
        <v>9603.5499999999993</v>
      </c>
      <c r="D353" s="66">
        <v>9634.65</v>
      </c>
      <c r="E353" s="66">
        <v>9589.9</v>
      </c>
      <c r="F353" s="67" t="s">
        <v>2342</v>
      </c>
      <c r="G353" s="68">
        <v>-5.0000000000000001E-4</v>
      </c>
      <c r="H353" s="64"/>
    </row>
    <row r="354" spans="1:8" x14ac:dyDescent="0.25">
      <c r="A354" s="65">
        <v>42888</v>
      </c>
      <c r="B354" s="66">
        <v>9653.5</v>
      </c>
      <c r="C354" s="66">
        <v>9657.15</v>
      </c>
      <c r="D354" s="66">
        <v>9673.5</v>
      </c>
      <c r="E354" s="66">
        <v>9637.4500000000007</v>
      </c>
      <c r="F354" s="67" t="s">
        <v>2341</v>
      </c>
      <c r="G354" s="68">
        <v>3.8999999999999998E-3</v>
      </c>
      <c r="H354" s="64"/>
    </row>
    <row r="355" spans="1:8" x14ac:dyDescent="0.25">
      <c r="A355" s="65">
        <v>42891</v>
      </c>
      <c r="B355" s="66">
        <v>9675.1</v>
      </c>
      <c r="C355" s="66">
        <v>9656.2999999999993</v>
      </c>
      <c r="D355" s="66">
        <v>9687.2000000000007</v>
      </c>
      <c r="E355" s="66">
        <v>9640.7000000000007</v>
      </c>
      <c r="F355" s="67" t="s">
        <v>2340</v>
      </c>
      <c r="G355" s="68">
        <v>2.2000000000000001E-3</v>
      </c>
      <c r="H355" s="64"/>
    </row>
    <row r="356" spans="1:8" x14ac:dyDescent="0.25">
      <c r="A356" s="65">
        <v>42892</v>
      </c>
      <c r="B356" s="66">
        <v>9637.15</v>
      </c>
      <c r="C356" s="66">
        <v>9704.25</v>
      </c>
      <c r="D356" s="66">
        <v>9709.2999999999993</v>
      </c>
      <c r="E356" s="66">
        <v>9630.2000000000007</v>
      </c>
      <c r="F356" s="67" t="s">
        <v>2339</v>
      </c>
      <c r="G356" s="68">
        <v>-3.8999999999999998E-3</v>
      </c>
      <c r="H356" s="64"/>
    </row>
    <row r="357" spans="1:8" x14ac:dyDescent="0.25">
      <c r="A357" s="65">
        <v>42893</v>
      </c>
      <c r="B357" s="66">
        <v>9663.9</v>
      </c>
      <c r="C357" s="66">
        <v>9663.9500000000007</v>
      </c>
      <c r="D357" s="66">
        <v>9678.5499999999993</v>
      </c>
      <c r="E357" s="66">
        <v>9630.5499999999993</v>
      </c>
      <c r="F357" s="67" t="s">
        <v>2338</v>
      </c>
      <c r="G357" s="68">
        <v>2.8E-3</v>
      </c>
      <c r="H357" s="64"/>
    </row>
    <row r="358" spans="1:8" x14ac:dyDescent="0.25">
      <c r="A358" s="65">
        <v>42894</v>
      </c>
      <c r="B358" s="66">
        <v>9647.25</v>
      </c>
      <c r="C358" s="66">
        <v>9682.4</v>
      </c>
      <c r="D358" s="66">
        <v>9688.7000000000007</v>
      </c>
      <c r="E358" s="66">
        <v>9641.5</v>
      </c>
      <c r="F358" s="67" t="s">
        <v>2337</v>
      </c>
      <c r="G358" s="68">
        <v>-1.6999999999999999E-3</v>
      </c>
      <c r="H358" s="64"/>
    </row>
    <row r="359" spans="1:8" x14ac:dyDescent="0.25">
      <c r="A359" s="65">
        <v>42895</v>
      </c>
      <c r="B359" s="66">
        <v>9668.25</v>
      </c>
      <c r="C359" s="66">
        <v>9638.5499999999993</v>
      </c>
      <c r="D359" s="66">
        <v>9676.25</v>
      </c>
      <c r="E359" s="66">
        <v>9608.15</v>
      </c>
      <c r="F359" s="67" t="s">
        <v>2336</v>
      </c>
      <c r="G359" s="68">
        <v>2.2000000000000001E-3</v>
      </c>
      <c r="H359" s="64"/>
    </row>
    <row r="360" spans="1:8" x14ac:dyDescent="0.25">
      <c r="A360" s="65">
        <v>42898</v>
      </c>
      <c r="B360" s="66">
        <v>9616.4</v>
      </c>
      <c r="C360" s="66">
        <v>9646.7000000000007</v>
      </c>
      <c r="D360" s="66">
        <v>9647.0499999999993</v>
      </c>
      <c r="E360" s="66">
        <v>9598.5</v>
      </c>
      <c r="F360" s="67" t="s">
        <v>2335</v>
      </c>
      <c r="G360" s="68">
        <v>-5.4000000000000003E-3</v>
      </c>
      <c r="H360" s="64"/>
    </row>
    <row r="361" spans="1:8" x14ac:dyDescent="0.25">
      <c r="A361" s="65">
        <v>42899</v>
      </c>
      <c r="B361" s="66">
        <v>9606.9</v>
      </c>
      <c r="C361" s="66">
        <v>9615.5499999999993</v>
      </c>
      <c r="D361" s="66">
        <v>9654.15</v>
      </c>
      <c r="E361" s="66">
        <v>9595.4</v>
      </c>
      <c r="F361" s="67" t="s">
        <v>2334</v>
      </c>
      <c r="G361" s="68">
        <v>-1E-3</v>
      </c>
      <c r="H361" s="64"/>
    </row>
    <row r="362" spans="1:8" x14ac:dyDescent="0.25">
      <c r="A362" s="65">
        <v>42900</v>
      </c>
      <c r="B362" s="66">
        <v>9618.15</v>
      </c>
      <c r="C362" s="66">
        <v>9621.5499999999993</v>
      </c>
      <c r="D362" s="66">
        <v>9627.4</v>
      </c>
      <c r="E362" s="66">
        <v>9580.4500000000007</v>
      </c>
      <c r="F362" s="67" t="s">
        <v>2333</v>
      </c>
      <c r="G362" s="68">
        <v>1.1999999999999999E-3</v>
      </c>
      <c r="H362" s="64"/>
    </row>
    <row r="363" spans="1:8" x14ac:dyDescent="0.25">
      <c r="A363" s="65">
        <v>42901</v>
      </c>
      <c r="B363" s="66">
        <v>9578.0499999999993</v>
      </c>
      <c r="C363" s="66">
        <v>9617.9</v>
      </c>
      <c r="D363" s="66">
        <v>9621.4</v>
      </c>
      <c r="E363" s="66">
        <v>9560.7999999999993</v>
      </c>
      <c r="F363" s="67" t="s">
        <v>2332</v>
      </c>
      <c r="G363" s="68">
        <v>-4.1999999999999997E-3</v>
      </c>
      <c r="H363" s="64"/>
    </row>
    <row r="364" spans="1:8" x14ac:dyDescent="0.25">
      <c r="A364" s="65">
        <v>42902</v>
      </c>
      <c r="B364" s="66">
        <v>9588.0499999999993</v>
      </c>
      <c r="C364" s="66">
        <v>9595.4500000000007</v>
      </c>
      <c r="D364" s="66">
        <v>9615.85</v>
      </c>
      <c r="E364" s="66">
        <v>9565.5</v>
      </c>
      <c r="F364" s="67" t="s">
        <v>2331</v>
      </c>
      <c r="G364" s="68">
        <v>1E-3</v>
      </c>
      <c r="H364" s="64"/>
    </row>
    <row r="365" spans="1:8" x14ac:dyDescent="0.25">
      <c r="A365" s="65">
        <v>42905</v>
      </c>
      <c r="B365" s="66">
        <v>9657.5499999999993</v>
      </c>
      <c r="C365" s="66">
        <v>9626.4</v>
      </c>
      <c r="D365" s="66">
        <v>9673.2999999999993</v>
      </c>
      <c r="E365" s="66">
        <v>9614.9</v>
      </c>
      <c r="F365" s="67" t="s">
        <v>2330</v>
      </c>
      <c r="G365" s="68">
        <v>7.1999999999999998E-3</v>
      </c>
      <c r="H365" s="64"/>
    </row>
    <row r="366" spans="1:8" x14ac:dyDescent="0.25">
      <c r="A366" s="65">
        <v>42906</v>
      </c>
      <c r="B366" s="66">
        <v>9653.5</v>
      </c>
      <c r="C366" s="66">
        <v>9670.5</v>
      </c>
      <c r="D366" s="66">
        <v>9676.5</v>
      </c>
      <c r="E366" s="66">
        <v>9643.75</v>
      </c>
      <c r="F366" s="67" t="s">
        <v>2329</v>
      </c>
      <c r="G366" s="68">
        <v>-4.0000000000000002E-4</v>
      </c>
      <c r="H366" s="64"/>
    </row>
    <row r="367" spans="1:8" x14ac:dyDescent="0.25">
      <c r="A367" s="65">
        <v>42907</v>
      </c>
      <c r="B367" s="66">
        <v>9633.6</v>
      </c>
      <c r="C367" s="66">
        <v>9648.1</v>
      </c>
      <c r="D367" s="66">
        <v>9650.4500000000007</v>
      </c>
      <c r="E367" s="66">
        <v>9608.6</v>
      </c>
      <c r="F367" s="67" t="s">
        <v>2328</v>
      </c>
      <c r="G367" s="68">
        <v>-2.0999999999999999E-3</v>
      </c>
      <c r="H367" s="64"/>
    </row>
    <row r="368" spans="1:8" x14ac:dyDescent="0.25">
      <c r="A368" s="65">
        <v>42908</v>
      </c>
      <c r="B368" s="66">
        <v>9630</v>
      </c>
      <c r="C368" s="66">
        <v>9642.65</v>
      </c>
      <c r="D368" s="66">
        <v>9698.85</v>
      </c>
      <c r="E368" s="66">
        <v>9617.75</v>
      </c>
      <c r="F368" s="67" t="s">
        <v>2327</v>
      </c>
      <c r="G368" s="68">
        <v>-4.0000000000000002E-4</v>
      </c>
      <c r="H368" s="64"/>
    </row>
    <row r="369" spans="1:8" x14ac:dyDescent="0.25">
      <c r="A369" s="65">
        <v>42909</v>
      </c>
      <c r="B369" s="66">
        <v>9574.9500000000007</v>
      </c>
      <c r="C369" s="66">
        <v>9643.25</v>
      </c>
      <c r="D369" s="66">
        <v>9647.65</v>
      </c>
      <c r="E369" s="66">
        <v>9565.2999999999993</v>
      </c>
      <c r="F369" s="67" t="s">
        <v>2326</v>
      </c>
      <c r="G369" s="68">
        <v>-5.7000000000000002E-3</v>
      </c>
      <c r="H369" s="64"/>
    </row>
    <row r="370" spans="1:8" x14ac:dyDescent="0.25">
      <c r="A370" s="65">
        <v>42913</v>
      </c>
      <c r="B370" s="66">
        <v>9511.4</v>
      </c>
      <c r="C370" s="66">
        <v>9594.0499999999993</v>
      </c>
      <c r="D370" s="66">
        <v>9615.4</v>
      </c>
      <c r="E370" s="66">
        <v>9473.4500000000007</v>
      </c>
      <c r="F370" s="67" t="s">
        <v>2231</v>
      </c>
      <c r="G370" s="68">
        <v>-6.6E-3</v>
      </c>
      <c r="H370" s="64"/>
    </row>
    <row r="371" spans="1:8" x14ac:dyDescent="0.25">
      <c r="A371" s="65">
        <v>42914</v>
      </c>
      <c r="B371" s="66">
        <v>9491.25</v>
      </c>
      <c r="C371" s="66">
        <v>9520.2000000000007</v>
      </c>
      <c r="D371" s="66">
        <v>9522.5</v>
      </c>
      <c r="E371" s="66">
        <v>9474.35</v>
      </c>
      <c r="F371" s="67" t="s">
        <v>2325</v>
      </c>
      <c r="G371" s="68">
        <v>-2.0999999999999999E-3</v>
      </c>
      <c r="H371" s="64"/>
    </row>
    <row r="372" spans="1:8" x14ac:dyDescent="0.25">
      <c r="A372" s="65">
        <v>42915</v>
      </c>
      <c r="B372" s="66">
        <v>9504.1</v>
      </c>
      <c r="C372" s="66">
        <v>9522.9500000000007</v>
      </c>
      <c r="D372" s="66">
        <v>9575.7999999999993</v>
      </c>
      <c r="E372" s="66">
        <v>9493.7999999999993</v>
      </c>
      <c r="F372" s="67" t="s">
        <v>2324</v>
      </c>
      <c r="G372" s="68">
        <v>1.4E-3</v>
      </c>
      <c r="H372" s="64"/>
    </row>
    <row r="373" spans="1:8" x14ac:dyDescent="0.25">
      <c r="A373" s="65">
        <v>42916</v>
      </c>
      <c r="B373" s="66">
        <v>9520.9</v>
      </c>
      <c r="C373" s="66">
        <v>9478.5</v>
      </c>
      <c r="D373" s="66">
        <v>9535.7999999999993</v>
      </c>
      <c r="E373" s="66">
        <v>9448.75</v>
      </c>
      <c r="F373" s="67" t="s">
        <v>2323</v>
      </c>
      <c r="G373" s="68">
        <v>1.8E-3</v>
      </c>
      <c r="H373" s="64"/>
    </row>
    <row r="374" spans="1:8" x14ac:dyDescent="0.25">
      <c r="A374" s="65">
        <v>42919</v>
      </c>
      <c r="B374" s="66">
        <v>9615</v>
      </c>
      <c r="C374" s="66">
        <v>9587.9500000000007</v>
      </c>
      <c r="D374" s="66">
        <v>9624</v>
      </c>
      <c r="E374" s="66">
        <v>9543.5499999999993</v>
      </c>
      <c r="F374" s="67" t="s">
        <v>2322</v>
      </c>
      <c r="G374" s="68">
        <v>9.9000000000000008E-3</v>
      </c>
      <c r="H374" s="64"/>
    </row>
    <row r="375" spans="1:8" x14ac:dyDescent="0.25">
      <c r="A375" s="65">
        <v>42920</v>
      </c>
      <c r="B375" s="66">
        <v>9613.2999999999993</v>
      </c>
      <c r="C375" s="66">
        <v>9645.9</v>
      </c>
      <c r="D375" s="66">
        <v>9650.65</v>
      </c>
      <c r="E375" s="66">
        <v>9595.5</v>
      </c>
      <c r="F375" s="67" t="s">
        <v>2321</v>
      </c>
      <c r="G375" s="68">
        <v>-2.0000000000000001E-4</v>
      </c>
      <c r="H375" s="64"/>
    </row>
    <row r="376" spans="1:8" x14ac:dyDescent="0.25">
      <c r="A376" s="65">
        <v>42921</v>
      </c>
      <c r="B376" s="66">
        <v>9637.6</v>
      </c>
      <c r="C376" s="66">
        <v>9619.75</v>
      </c>
      <c r="D376" s="66">
        <v>9643.65</v>
      </c>
      <c r="E376" s="66">
        <v>9607.35</v>
      </c>
      <c r="F376" s="67" t="s">
        <v>2320</v>
      </c>
      <c r="G376" s="68">
        <v>2.5000000000000001E-3</v>
      </c>
      <c r="H376" s="64"/>
    </row>
    <row r="377" spans="1:8" x14ac:dyDescent="0.25">
      <c r="A377" s="65">
        <v>42922</v>
      </c>
      <c r="B377" s="66">
        <v>9674.5499999999993</v>
      </c>
      <c r="C377" s="66">
        <v>9653.6</v>
      </c>
      <c r="D377" s="66">
        <v>9700.7000000000007</v>
      </c>
      <c r="E377" s="66">
        <v>9639.9500000000007</v>
      </c>
      <c r="F377" s="67" t="s">
        <v>2319</v>
      </c>
      <c r="G377" s="68">
        <v>3.8E-3</v>
      </c>
      <c r="H377" s="64"/>
    </row>
    <row r="378" spans="1:8" x14ac:dyDescent="0.25">
      <c r="A378" s="65">
        <v>42923</v>
      </c>
      <c r="B378" s="66">
        <v>9665.7999999999993</v>
      </c>
      <c r="C378" s="66">
        <v>9670.35</v>
      </c>
      <c r="D378" s="66">
        <v>9684.25</v>
      </c>
      <c r="E378" s="66">
        <v>9642.65</v>
      </c>
      <c r="F378" s="67" t="s">
        <v>2318</v>
      </c>
      <c r="G378" s="68">
        <v>-8.9999999999999998E-4</v>
      </c>
      <c r="H378" s="64"/>
    </row>
    <row r="379" spans="1:8" x14ac:dyDescent="0.25">
      <c r="A379" s="65">
        <v>42926</v>
      </c>
      <c r="B379" s="66">
        <v>9771.0499999999993</v>
      </c>
      <c r="C379" s="66">
        <v>9719.2999999999993</v>
      </c>
      <c r="D379" s="66">
        <v>9782.15</v>
      </c>
      <c r="E379" s="66">
        <v>9646.4500000000007</v>
      </c>
      <c r="F379" s="67" t="s">
        <v>2317</v>
      </c>
      <c r="G379" s="68">
        <v>1.09E-2</v>
      </c>
      <c r="H379" s="64"/>
    </row>
    <row r="380" spans="1:8" x14ac:dyDescent="0.25">
      <c r="A380" s="65">
        <v>42927</v>
      </c>
      <c r="B380" s="66">
        <v>9786.0499999999993</v>
      </c>
      <c r="C380" s="66">
        <v>9797.4500000000007</v>
      </c>
      <c r="D380" s="66">
        <v>9830.0499999999993</v>
      </c>
      <c r="E380" s="66">
        <v>9778.85</v>
      </c>
      <c r="F380" s="67" t="s">
        <v>2316</v>
      </c>
      <c r="G380" s="68">
        <v>1.5E-3</v>
      </c>
      <c r="H380" s="64"/>
    </row>
    <row r="381" spans="1:8" x14ac:dyDescent="0.25">
      <c r="A381" s="65">
        <v>42928</v>
      </c>
      <c r="B381" s="66">
        <v>9816.1</v>
      </c>
      <c r="C381" s="66">
        <v>9807.2999999999993</v>
      </c>
      <c r="D381" s="66">
        <v>9824.9500000000007</v>
      </c>
      <c r="E381" s="66">
        <v>9787.7000000000007</v>
      </c>
      <c r="F381" s="67" t="s">
        <v>2315</v>
      </c>
      <c r="G381" s="68">
        <v>3.0999999999999999E-3</v>
      </c>
      <c r="H381" s="64"/>
    </row>
    <row r="382" spans="1:8" x14ac:dyDescent="0.25">
      <c r="A382" s="65">
        <v>42929</v>
      </c>
      <c r="B382" s="66">
        <v>9891.7000000000007</v>
      </c>
      <c r="C382" s="66">
        <v>9855.7999999999993</v>
      </c>
      <c r="D382" s="66">
        <v>9897.25</v>
      </c>
      <c r="E382" s="66">
        <v>9853.4500000000007</v>
      </c>
      <c r="F382" s="67" t="s">
        <v>2314</v>
      </c>
      <c r="G382" s="68">
        <v>7.7000000000000002E-3</v>
      </c>
      <c r="H382" s="64"/>
    </row>
    <row r="383" spans="1:8" x14ac:dyDescent="0.25">
      <c r="A383" s="65">
        <v>42930</v>
      </c>
      <c r="B383" s="66">
        <v>9886.35</v>
      </c>
      <c r="C383" s="66">
        <v>9913.2999999999993</v>
      </c>
      <c r="D383" s="66">
        <v>9913.2999999999993</v>
      </c>
      <c r="E383" s="66">
        <v>9845.4500000000007</v>
      </c>
      <c r="F383" s="67" t="s">
        <v>2313</v>
      </c>
      <c r="G383" s="68">
        <v>-5.0000000000000001E-4</v>
      </c>
      <c r="H383" s="64"/>
    </row>
    <row r="384" spans="1:8" x14ac:dyDescent="0.25">
      <c r="A384" s="65">
        <v>42933</v>
      </c>
      <c r="B384" s="66">
        <v>9915.9500000000007</v>
      </c>
      <c r="C384" s="66">
        <v>9908.15</v>
      </c>
      <c r="D384" s="66">
        <v>9928.2000000000007</v>
      </c>
      <c r="E384" s="66">
        <v>9894.7000000000007</v>
      </c>
      <c r="F384" s="67" t="s">
        <v>2312</v>
      </c>
      <c r="G384" s="68">
        <v>3.0000000000000001E-3</v>
      </c>
      <c r="H384" s="64"/>
    </row>
    <row r="385" spans="1:8" x14ac:dyDescent="0.25">
      <c r="A385" s="65">
        <v>42934</v>
      </c>
      <c r="B385" s="66">
        <v>9827.15</v>
      </c>
      <c r="C385" s="66">
        <v>9832.7000000000007</v>
      </c>
      <c r="D385" s="66">
        <v>9885.35</v>
      </c>
      <c r="E385" s="66">
        <v>9792.0499999999993</v>
      </c>
      <c r="F385" s="67" t="s">
        <v>2311</v>
      </c>
      <c r="G385" s="68">
        <v>-8.9999999999999993E-3</v>
      </c>
      <c r="H385" s="64"/>
    </row>
    <row r="386" spans="1:8" x14ac:dyDescent="0.25">
      <c r="A386" s="65">
        <v>42935</v>
      </c>
      <c r="B386" s="66">
        <v>9899.6</v>
      </c>
      <c r="C386" s="66">
        <v>9855.9500000000007</v>
      </c>
      <c r="D386" s="66">
        <v>9905.0499999999993</v>
      </c>
      <c r="E386" s="66">
        <v>9851.65</v>
      </c>
      <c r="F386" s="67" t="s">
        <v>2310</v>
      </c>
      <c r="G386" s="68">
        <v>7.4000000000000003E-3</v>
      </c>
      <c r="H386" s="64"/>
    </row>
    <row r="387" spans="1:8" x14ac:dyDescent="0.25">
      <c r="A387" s="65">
        <v>42936</v>
      </c>
      <c r="B387" s="66">
        <v>9873.2999999999993</v>
      </c>
      <c r="C387" s="66">
        <v>9920.2000000000007</v>
      </c>
      <c r="D387" s="66">
        <v>9922.5499999999993</v>
      </c>
      <c r="E387" s="66">
        <v>9863.4500000000007</v>
      </c>
      <c r="F387" s="67" t="s">
        <v>2309</v>
      </c>
      <c r="G387" s="68">
        <v>-2.7000000000000001E-3</v>
      </c>
      <c r="H387" s="64"/>
    </row>
    <row r="388" spans="1:8" x14ac:dyDescent="0.25">
      <c r="A388" s="65">
        <v>42937</v>
      </c>
      <c r="B388" s="66">
        <v>9915.25</v>
      </c>
      <c r="C388" s="66">
        <v>9899.6</v>
      </c>
      <c r="D388" s="66">
        <v>9924.7000000000007</v>
      </c>
      <c r="E388" s="66">
        <v>9838</v>
      </c>
      <c r="F388" s="67" t="s">
        <v>2308</v>
      </c>
      <c r="G388" s="68">
        <v>4.1999999999999997E-3</v>
      </c>
      <c r="H388" s="64"/>
    </row>
    <row r="389" spans="1:8" x14ac:dyDescent="0.25">
      <c r="A389" s="65">
        <v>42940</v>
      </c>
      <c r="B389" s="66">
        <v>9966.4</v>
      </c>
      <c r="C389" s="66">
        <v>9936.7999999999993</v>
      </c>
      <c r="D389" s="66">
        <v>9982.0499999999993</v>
      </c>
      <c r="E389" s="66">
        <v>9919.6</v>
      </c>
      <c r="F389" s="67" t="s">
        <v>2307</v>
      </c>
      <c r="G389" s="68">
        <v>5.1999999999999998E-3</v>
      </c>
      <c r="H389" s="64"/>
    </row>
    <row r="390" spans="1:8" x14ac:dyDescent="0.25">
      <c r="A390" s="65">
        <v>42941</v>
      </c>
      <c r="B390" s="66">
        <v>9964.5499999999993</v>
      </c>
      <c r="C390" s="66">
        <v>10010.549999999999</v>
      </c>
      <c r="D390" s="66">
        <v>10011.299999999999</v>
      </c>
      <c r="E390" s="66">
        <v>9949.1</v>
      </c>
      <c r="F390" s="67" t="s">
        <v>2306</v>
      </c>
      <c r="G390" s="68">
        <v>-2.0000000000000001E-4</v>
      </c>
      <c r="H390" s="64"/>
    </row>
    <row r="391" spans="1:8" x14ac:dyDescent="0.25">
      <c r="A391" s="65">
        <v>42942</v>
      </c>
      <c r="B391" s="66">
        <v>10020.65</v>
      </c>
      <c r="C391" s="66">
        <v>9983.65</v>
      </c>
      <c r="D391" s="66">
        <v>10025.950000000001</v>
      </c>
      <c r="E391" s="66">
        <v>9965.9500000000007</v>
      </c>
      <c r="F391" s="67" t="s">
        <v>2305</v>
      </c>
      <c r="G391" s="68">
        <v>5.5999999999999999E-3</v>
      </c>
      <c r="H391" s="64"/>
    </row>
    <row r="392" spans="1:8" x14ac:dyDescent="0.25">
      <c r="A392" s="65">
        <v>42943</v>
      </c>
      <c r="B392" s="66">
        <v>10020.549999999999</v>
      </c>
      <c r="C392" s="66">
        <v>10063.25</v>
      </c>
      <c r="D392" s="66">
        <v>10114.85</v>
      </c>
      <c r="E392" s="66">
        <v>10005.5</v>
      </c>
      <c r="F392" s="67" t="s">
        <v>2304</v>
      </c>
      <c r="G392" s="68">
        <v>0</v>
      </c>
      <c r="H392" s="64"/>
    </row>
    <row r="393" spans="1:8" x14ac:dyDescent="0.25">
      <c r="A393" s="65">
        <v>42944</v>
      </c>
      <c r="B393" s="66">
        <v>10014.5</v>
      </c>
      <c r="C393" s="66">
        <v>9996.5499999999993</v>
      </c>
      <c r="D393" s="66">
        <v>10026.049999999999</v>
      </c>
      <c r="E393" s="66">
        <v>9944.5</v>
      </c>
      <c r="F393" s="67" t="s">
        <v>2303</v>
      </c>
      <c r="G393" s="68">
        <v>-5.9999999999999995E-4</v>
      </c>
      <c r="H393" s="64"/>
    </row>
    <row r="394" spans="1:8" x14ac:dyDescent="0.25">
      <c r="A394" s="65">
        <v>42947</v>
      </c>
      <c r="B394" s="66">
        <v>10077.1</v>
      </c>
      <c r="C394" s="66">
        <v>10034.700000000001</v>
      </c>
      <c r="D394" s="66">
        <v>10085.9</v>
      </c>
      <c r="E394" s="66">
        <v>10016.950000000001</v>
      </c>
      <c r="F394" s="67" t="s">
        <v>2302</v>
      </c>
      <c r="G394" s="68">
        <v>6.3E-3</v>
      </c>
      <c r="H394" s="64"/>
    </row>
    <row r="395" spans="1:8" x14ac:dyDescent="0.25">
      <c r="A395" s="65">
        <v>42948</v>
      </c>
      <c r="B395" s="66">
        <v>10114.65</v>
      </c>
      <c r="C395" s="66">
        <v>10101.049999999999</v>
      </c>
      <c r="D395" s="66">
        <v>10128.6</v>
      </c>
      <c r="E395" s="66">
        <v>10065.75</v>
      </c>
      <c r="F395" s="67" t="s">
        <v>2301</v>
      </c>
      <c r="G395" s="68">
        <v>3.7000000000000002E-3</v>
      </c>
      <c r="H395" s="64"/>
    </row>
    <row r="396" spans="1:8" x14ac:dyDescent="0.25">
      <c r="A396" s="65">
        <v>42949</v>
      </c>
      <c r="B396" s="66">
        <v>10081.5</v>
      </c>
      <c r="C396" s="66">
        <v>10136.299999999999</v>
      </c>
      <c r="D396" s="66">
        <v>10137.85</v>
      </c>
      <c r="E396" s="66">
        <v>10054.200000000001</v>
      </c>
      <c r="F396" s="67" t="s">
        <v>2300</v>
      </c>
      <c r="G396" s="68">
        <v>-3.3E-3</v>
      </c>
      <c r="H396" s="64"/>
    </row>
    <row r="397" spans="1:8" x14ac:dyDescent="0.25">
      <c r="A397" s="65">
        <v>42950</v>
      </c>
      <c r="B397" s="66">
        <v>10013.65</v>
      </c>
      <c r="C397" s="66">
        <v>10081.15</v>
      </c>
      <c r="D397" s="66">
        <v>10081.15</v>
      </c>
      <c r="E397" s="66">
        <v>9998.25</v>
      </c>
      <c r="F397" s="67" t="s">
        <v>907</v>
      </c>
      <c r="G397" s="68">
        <v>-6.7000000000000002E-3</v>
      </c>
      <c r="H397" s="64"/>
    </row>
    <row r="398" spans="1:8" x14ac:dyDescent="0.25">
      <c r="A398" s="65">
        <v>42951</v>
      </c>
      <c r="B398" s="66">
        <v>10066.4</v>
      </c>
      <c r="C398" s="66">
        <v>10008.6</v>
      </c>
      <c r="D398" s="66">
        <v>10075.25</v>
      </c>
      <c r="E398" s="66">
        <v>9988.35</v>
      </c>
      <c r="F398" s="67" t="s">
        <v>2299</v>
      </c>
      <c r="G398" s="68">
        <v>5.3E-3</v>
      </c>
      <c r="H398" s="64"/>
    </row>
    <row r="399" spans="1:8" x14ac:dyDescent="0.25">
      <c r="A399" s="65">
        <v>42954</v>
      </c>
      <c r="B399" s="66">
        <v>10057.4</v>
      </c>
      <c r="C399" s="66">
        <v>10074.799999999999</v>
      </c>
      <c r="D399" s="66">
        <v>10088.1</v>
      </c>
      <c r="E399" s="66">
        <v>10046.35</v>
      </c>
      <c r="F399" s="67" t="s">
        <v>2298</v>
      </c>
      <c r="G399" s="68">
        <v>-8.9999999999999998E-4</v>
      </c>
      <c r="H399" s="64"/>
    </row>
    <row r="400" spans="1:8" x14ac:dyDescent="0.25">
      <c r="A400" s="65">
        <v>42955</v>
      </c>
      <c r="B400" s="66">
        <v>9978.5499999999993</v>
      </c>
      <c r="C400" s="66">
        <v>10068.35</v>
      </c>
      <c r="D400" s="66">
        <v>10083.799999999999</v>
      </c>
      <c r="E400" s="66">
        <v>9947</v>
      </c>
      <c r="F400" s="67" t="s">
        <v>2297</v>
      </c>
      <c r="G400" s="68">
        <v>-7.7999999999999996E-3</v>
      </c>
      <c r="H400" s="64"/>
    </row>
    <row r="401" spans="1:8" x14ac:dyDescent="0.25">
      <c r="A401" s="65">
        <v>42956</v>
      </c>
      <c r="B401" s="66">
        <v>9908.0499999999993</v>
      </c>
      <c r="C401" s="66">
        <v>9961.15</v>
      </c>
      <c r="D401" s="66">
        <v>9969.7999999999993</v>
      </c>
      <c r="E401" s="66">
        <v>9893.0499999999993</v>
      </c>
      <c r="F401" s="67" t="s">
        <v>2296</v>
      </c>
      <c r="G401" s="68">
        <v>-7.1000000000000004E-3</v>
      </c>
      <c r="H401" s="64"/>
    </row>
    <row r="402" spans="1:8" x14ac:dyDescent="0.25">
      <c r="A402" s="65">
        <v>42957</v>
      </c>
      <c r="B402" s="66">
        <v>9820.25</v>
      </c>
      <c r="C402" s="66">
        <v>9872.85</v>
      </c>
      <c r="D402" s="66">
        <v>9892.65</v>
      </c>
      <c r="E402" s="66">
        <v>9776.2000000000007</v>
      </c>
      <c r="F402" s="67" t="s">
        <v>2295</v>
      </c>
      <c r="G402" s="68">
        <v>-8.8999999999999999E-3</v>
      </c>
      <c r="H402" s="64"/>
    </row>
    <row r="403" spans="1:8" x14ac:dyDescent="0.25">
      <c r="A403" s="65">
        <v>42958</v>
      </c>
      <c r="B403" s="66">
        <v>9710.7999999999993</v>
      </c>
      <c r="C403" s="66">
        <v>9712.15</v>
      </c>
      <c r="D403" s="66">
        <v>9771.65</v>
      </c>
      <c r="E403" s="66">
        <v>9685.5499999999993</v>
      </c>
      <c r="F403" s="67" t="s">
        <v>2294</v>
      </c>
      <c r="G403" s="68">
        <v>-1.11E-2</v>
      </c>
      <c r="H403" s="64"/>
    </row>
    <row r="404" spans="1:8" x14ac:dyDescent="0.25">
      <c r="A404" s="65">
        <v>42961</v>
      </c>
      <c r="B404" s="66">
        <v>9794.15</v>
      </c>
      <c r="C404" s="66">
        <v>9755.75</v>
      </c>
      <c r="D404" s="66">
        <v>9818.2999999999993</v>
      </c>
      <c r="E404" s="66">
        <v>9752.1</v>
      </c>
      <c r="F404" s="67" t="s">
        <v>2293</v>
      </c>
      <c r="G404" s="68">
        <v>8.6E-3</v>
      </c>
      <c r="H404" s="64"/>
    </row>
    <row r="405" spans="1:8" x14ac:dyDescent="0.25">
      <c r="A405" s="65">
        <v>42963</v>
      </c>
      <c r="B405" s="66">
        <v>9897.2999999999993</v>
      </c>
      <c r="C405" s="66">
        <v>9825.85</v>
      </c>
      <c r="D405" s="66">
        <v>9903.9500000000007</v>
      </c>
      <c r="E405" s="66">
        <v>9773.85</v>
      </c>
      <c r="F405" s="67" t="s">
        <v>2292</v>
      </c>
      <c r="G405" s="68">
        <v>1.0500000000000001E-2</v>
      </c>
      <c r="H405" s="64"/>
    </row>
    <row r="406" spans="1:8" x14ac:dyDescent="0.25">
      <c r="A406" s="65">
        <v>42964</v>
      </c>
      <c r="B406" s="66">
        <v>9904.15</v>
      </c>
      <c r="C406" s="66">
        <v>9945.5499999999993</v>
      </c>
      <c r="D406" s="66">
        <v>9947.7999999999993</v>
      </c>
      <c r="E406" s="66">
        <v>9883.75</v>
      </c>
      <c r="F406" s="67" t="s">
        <v>2291</v>
      </c>
      <c r="G406" s="68">
        <v>6.9999999999999999E-4</v>
      </c>
      <c r="H406" s="64"/>
    </row>
    <row r="407" spans="1:8" x14ac:dyDescent="0.25">
      <c r="A407" s="65">
        <v>42965</v>
      </c>
      <c r="B407" s="66">
        <v>9837.4</v>
      </c>
      <c r="C407" s="66">
        <v>9865.9500000000007</v>
      </c>
      <c r="D407" s="66">
        <v>9865.9500000000007</v>
      </c>
      <c r="E407" s="66">
        <v>9783.65</v>
      </c>
      <c r="F407" s="67" t="s">
        <v>2290</v>
      </c>
      <c r="G407" s="68">
        <v>-6.7000000000000002E-3</v>
      </c>
      <c r="H407" s="64"/>
    </row>
    <row r="408" spans="1:8" x14ac:dyDescent="0.25">
      <c r="A408" s="65">
        <v>42968</v>
      </c>
      <c r="B408" s="66">
        <v>9754.35</v>
      </c>
      <c r="C408" s="66">
        <v>9864.25</v>
      </c>
      <c r="D408" s="66">
        <v>9884.35</v>
      </c>
      <c r="E408" s="66">
        <v>9740.1</v>
      </c>
      <c r="F408" s="67" t="s">
        <v>2289</v>
      </c>
      <c r="G408" s="68">
        <v>-8.3999999999999995E-3</v>
      </c>
      <c r="H408" s="64"/>
    </row>
    <row r="409" spans="1:8" x14ac:dyDescent="0.25">
      <c r="A409" s="65">
        <v>42969</v>
      </c>
      <c r="B409" s="66">
        <v>9765.5499999999993</v>
      </c>
      <c r="C409" s="66">
        <v>9815.75</v>
      </c>
      <c r="D409" s="66">
        <v>9828.4500000000007</v>
      </c>
      <c r="E409" s="66">
        <v>9752.6</v>
      </c>
      <c r="F409" s="67" t="s">
        <v>2288</v>
      </c>
      <c r="G409" s="68">
        <v>1.1000000000000001E-3</v>
      </c>
      <c r="H409" s="64"/>
    </row>
    <row r="410" spans="1:8" x14ac:dyDescent="0.25">
      <c r="A410" s="65">
        <v>42970</v>
      </c>
      <c r="B410" s="66">
        <v>9852.5</v>
      </c>
      <c r="C410" s="66">
        <v>9803.0499999999993</v>
      </c>
      <c r="D410" s="66">
        <v>9857.9</v>
      </c>
      <c r="E410" s="66">
        <v>9786.75</v>
      </c>
      <c r="F410" s="67" t="s">
        <v>2287</v>
      </c>
      <c r="G410" s="68">
        <v>8.8999999999999999E-3</v>
      </c>
      <c r="H410" s="64"/>
    </row>
    <row r="411" spans="1:8" x14ac:dyDescent="0.25">
      <c r="A411" s="65">
        <v>42971</v>
      </c>
      <c r="B411" s="66">
        <v>9857.0499999999993</v>
      </c>
      <c r="C411" s="66">
        <v>9881.2000000000007</v>
      </c>
      <c r="D411" s="66">
        <v>9881.5</v>
      </c>
      <c r="E411" s="66">
        <v>9848.85</v>
      </c>
      <c r="F411" s="67" t="s">
        <v>2286</v>
      </c>
      <c r="G411" s="68">
        <v>5.0000000000000001E-4</v>
      </c>
      <c r="H411" s="64"/>
    </row>
    <row r="412" spans="1:8" x14ac:dyDescent="0.25">
      <c r="A412" s="65">
        <v>42975</v>
      </c>
      <c r="B412" s="66">
        <v>9912.7999999999993</v>
      </c>
      <c r="C412" s="66">
        <v>9907.15</v>
      </c>
      <c r="D412" s="66">
        <v>9925.75</v>
      </c>
      <c r="E412" s="66">
        <v>9882</v>
      </c>
      <c r="F412" s="67" t="s">
        <v>2285</v>
      </c>
      <c r="G412" s="68">
        <v>5.7000000000000002E-3</v>
      </c>
      <c r="H412" s="64"/>
    </row>
    <row r="413" spans="1:8" x14ac:dyDescent="0.25">
      <c r="A413" s="65">
        <v>42976</v>
      </c>
      <c r="B413" s="66">
        <v>9796.0499999999993</v>
      </c>
      <c r="C413" s="66">
        <v>9886.4</v>
      </c>
      <c r="D413" s="66">
        <v>9887.35</v>
      </c>
      <c r="E413" s="66">
        <v>9783.75</v>
      </c>
      <c r="F413" s="67" t="s">
        <v>2284</v>
      </c>
      <c r="G413" s="68">
        <v>-1.18E-2</v>
      </c>
      <c r="H413" s="64"/>
    </row>
    <row r="414" spans="1:8" x14ac:dyDescent="0.25">
      <c r="A414" s="65">
        <v>42977</v>
      </c>
      <c r="B414" s="66">
        <v>9884.4</v>
      </c>
      <c r="C414" s="66">
        <v>9859.5</v>
      </c>
      <c r="D414" s="66">
        <v>9909.4500000000007</v>
      </c>
      <c r="E414" s="66">
        <v>9850.7999999999993</v>
      </c>
      <c r="F414" s="67" t="s">
        <v>2283</v>
      </c>
      <c r="G414" s="68">
        <v>8.9999999999999993E-3</v>
      </c>
      <c r="H414" s="64"/>
    </row>
    <row r="415" spans="1:8" x14ac:dyDescent="0.25">
      <c r="A415" s="65">
        <v>42978</v>
      </c>
      <c r="B415" s="66">
        <v>9917.9</v>
      </c>
      <c r="C415" s="66">
        <v>9905.7000000000007</v>
      </c>
      <c r="D415" s="66">
        <v>9925.1</v>
      </c>
      <c r="E415" s="66">
        <v>9856.9500000000007</v>
      </c>
      <c r="F415" s="67" t="s">
        <v>2282</v>
      </c>
      <c r="G415" s="68">
        <v>3.3999999999999998E-3</v>
      </c>
      <c r="H415" s="64"/>
    </row>
    <row r="416" spans="1:8" x14ac:dyDescent="0.25">
      <c r="A416" s="65">
        <v>42979</v>
      </c>
      <c r="B416" s="66">
        <v>9974.4</v>
      </c>
      <c r="C416" s="66">
        <v>9937.65</v>
      </c>
      <c r="D416" s="66">
        <v>9983.4500000000007</v>
      </c>
      <c r="E416" s="66">
        <v>9909.85</v>
      </c>
      <c r="F416" s="67" t="s">
        <v>2281</v>
      </c>
      <c r="G416" s="68">
        <v>5.7000000000000002E-3</v>
      </c>
      <c r="H416" s="64"/>
    </row>
    <row r="417" spans="1:8" x14ac:dyDescent="0.25">
      <c r="A417" s="65">
        <v>42982</v>
      </c>
      <c r="B417" s="66">
        <v>9912.85</v>
      </c>
      <c r="C417" s="66">
        <v>9984.15</v>
      </c>
      <c r="D417" s="66">
        <v>9988.4</v>
      </c>
      <c r="E417" s="66">
        <v>9861</v>
      </c>
      <c r="F417" s="67" t="s">
        <v>2280</v>
      </c>
      <c r="G417" s="68">
        <v>-6.1999999999999998E-3</v>
      </c>
      <c r="H417" s="64"/>
    </row>
    <row r="418" spans="1:8" x14ac:dyDescent="0.25">
      <c r="A418" s="65">
        <v>42983</v>
      </c>
      <c r="B418" s="66">
        <v>9952.2000000000007</v>
      </c>
      <c r="C418" s="66">
        <v>9933.25</v>
      </c>
      <c r="D418" s="66">
        <v>9963.1</v>
      </c>
      <c r="E418" s="66">
        <v>9901.0499999999993</v>
      </c>
      <c r="F418" s="67" t="s">
        <v>2279</v>
      </c>
      <c r="G418" s="68">
        <v>4.0000000000000001E-3</v>
      </c>
      <c r="H418" s="64"/>
    </row>
    <row r="419" spans="1:8" x14ac:dyDescent="0.25">
      <c r="A419" s="65">
        <v>42984</v>
      </c>
      <c r="B419" s="66">
        <v>9916.2000000000007</v>
      </c>
      <c r="C419" s="66">
        <v>9899.25</v>
      </c>
      <c r="D419" s="66">
        <v>9931.5499999999993</v>
      </c>
      <c r="E419" s="66">
        <v>9882.5499999999993</v>
      </c>
      <c r="F419" s="67" t="s">
        <v>2278</v>
      </c>
      <c r="G419" s="68">
        <v>-3.5999999999999999E-3</v>
      </c>
      <c r="H419" s="64"/>
    </row>
    <row r="420" spans="1:8" x14ac:dyDescent="0.25">
      <c r="A420" s="65">
        <v>42985</v>
      </c>
      <c r="B420" s="66">
        <v>9929.9</v>
      </c>
      <c r="C420" s="66">
        <v>9945.85</v>
      </c>
      <c r="D420" s="66">
        <v>9964.85</v>
      </c>
      <c r="E420" s="66">
        <v>9917.2000000000007</v>
      </c>
      <c r="F420" s="67" t="s">
        <v>2277</v>
      </c>
      <c r="G420" s="68">
        <v>1.4E-3</v>
      </c>
      <c r="H420" s="64"/>
    </row>
    <row r="421" spans="1:8" x14ac:dyDescent="0.25">
      <c r="A421" s="65">
        <v>42986</v>
      </c>
      <c r="B421" s="66">
        <v>9934.7999999999993</v>
      </c>
      <c r="C421" s="66">
        <v>9958.65</v>
      </c>
      <c r="D421" s="66">
        <v>9963.6</v>
      </c>
      <c r="E421" s="66">
        <v>9913.2999999999993</v>
      </c>
      <c r="F421" s="67" t="s">
        <v>2276</v>
      </c>
      <c r="G421" s="68">
        <v>5.0000000000000001E-4</v>
      </c>
      <c r="H421" s="64"/>
    </row>
    <row r="422" spans="1:8" x14ac:dyDescent="0.25">
      <c r="A422" s="65">
        <v>42989</v>
      </c>
      <c r="B422" s="66">
        <v>10006.049999999999</v>
      </c>
      <c r="C422" s="66">
        <v>9971.75</v>
      </c>
      <c r="D422" s="66">
        <v>10028.65</v>
      </c>
      <c r="E422" s="66">
        <v>9968.7999999999993</v>
      </c>
      <c r="F422" s="67" t="s">
        <v>2275</v>
      </c>
      <c r="G422" s="68">
        <v>7.1999999999999998E-3</v>
      </c>
      <c r="H422" s="64"/>
    </row>
    <row r="423" spans="1:8" x14ac:dyDescent="0.25">
      <c r="A423" s="65">
        <v>42990</v>
      </c>
      <c r="B423" s="66">
        <v>10093.049999999999</v>
      </c>
      <c r="C423" s="66">
        <v>10056.85</v>
      </c>
      <c r="D423" s="66">
        <v>10097.549999999999</v>
      </c>
      <c r="E423" s="66">
        <v>10028.049999999999</v>
      </c>
      <c r="F423" s="67" t="s">
        <v>2274</v>
      </c>
      <c r="G423" s="68">
        <v>8.6999999999999994E-3</v>
      </c>
      <c r="H423" s="64"/>
    </row>
    <row r="424" spans="1:8" x14ac:dyDescent="0.25">
      <c r="A424" s="65">
        <v>42991</v>
      </c>
      <c r="B424" s="66">
        <v>10079.299999999999</v>
      </c>
      <c r="C424" s="66">
        <v>10099.25</v>
      </c>
      <c r="D424" s="66">
        <v>10131.950000000001</v>
      </c>
      <c r="E424" s="66">
        <v>10063.15</v>
      </c>
      <c r="F424" s="67" t="s">
        <v>2273</v>
      </c>
      <c r="G424" s="68">
        <v>-1.4E-3</v>
      </c>
      <c r="H424" s="64"/>
    </row>
    <row r="425" spans="1:8" x14ac:dyDescent="0.25">
      <c r="A425" s="65">
        <v>42992</v>
      </c>
      <c r="B425" s="66">
        <v>10086.6</v>
      </c>
      <c r="C425" s="66">
        <v>10107.4</v>
      </c>
      <c r="D425" s="66">
        <v>10126.5</v>
      </c>
      <c r="E425" s="66">
        <v>10070.35</v>
      </c>
      <c r="F425" s="67" t="s">
        <v>2272</v>
      </c>
      <c r="G425" s="68">
        <v>6.9999999999999999E-4</v>
      </c>
      <c r="H425" s="64"/>
    </row>
    <row r="426" spans="1:8" x14ac:dyDescent="0.25">
      <c r="A426" s="65">
        <v>42993</v>
      </c>
      <c r="B426" s="66">
        <v>10085.4</v>
      </c>
      <c r="C426" s="66">
        <v>10062.35</v>
      </c>
      <c r="D426" s="66">
        <v>10115.15</v>
      </c>
      <c r="E426" s="66">
        <v>10043.65</v>
      </c>
      <c r="F426" s="67" t="s">
        <v>2271</v>
      </c>
      <c r="G426" s="68">
        <v>-1E-4</v>
      </c>
      <c r="H426" s="64"/>
    </row>
    <row r="427" spans="1:8" x14ac:dyDescent="0.25">
      <c r="A427" s="65">
        <v>42996</v>
      </c>
      <c r="B427" s="66">
        <v>10153.1</v>
      </c>
      <c r="C427" s="66">
        <v>10133.1</v>
      </c>
      <c r="D427" s="66">
        <v>10171.700000000001</v>
      </c>
      <c r="E427" s="66">
        <v>10131.299999999999</v>
      </c>
      <c r="F427" s="67" t="s">
        <v>2270</v>
      </c>
      <c r="G427" s="68">
        <v>6.7000000000000002E-3</v>
      </c>
      <c r="H427" s="64"/>
    </row>
    <row r="428" spans="1:8" x14ac:dyDescent="0.25">
      <c r="A428" s="65">
        <v>42997</v>
      </c>
      <c r="B428" s="66">
        <v>10147.549999999999</v>
      </c>
      <c r="C428" s="66">
        <v>10175.6</v>
      </c>
      <c r="D428" s="66">
        <v>10178.950000000001</v>
      </c>
      <c r="E428" s="66">
        <v>10129.950000000001</v>
      </c>
      <c r="F428" s="67" t="s">
        <v>2269</v>
      </c>
      <c r="G428" s="68">
        <v>-5.0000000000000001E-4</v>
      </c>
      <c r="H428" s="64"/>
    </row>
    <row r="429" spans="1:8" x14ac:dyDescent="0.25">
      <c r="A429" s="65">
        <v>42998</v>
      </c>
      <c r="B429" s="66">
        <v>10141.15</v>
      </c>
      <c r="C429" s="66">
        <v>10160.950000000001</v>
      </c>
      <c r="D429" s="66">
        <v>10171.049999999999</v>
      </c>
      <c r="E429" s="66">
        <v>10134.200000000001</v>
      </c>
      <c r="F429" s="67" t="s">
        <v>2268</v>
      </c>
      <c r="G429" s="68">
        <v>-5.9999999999999995E-4</v>
      </c>
      <c r="H429" s="64"/>
    </row>
    <row r="430" spans="1:8" x14ac:dyDescent="0.25">
      <c r="A430" s="65">
        <v>42999</v>
      </c>
      <c r="B430" s="66">
        <v>10121.9</v>
      </c>
      <c r="C430" s="66">
        <v>10139.6</v>
      </c>
      <c r="D430" s="66">
        <v>10158.9</v>
      </c>
      <c r="E430" s="66">
        <v>10058.6</v>
      </c>
      <c r="F430" s="67" t="s">
        <v>2267</v>
      </c>
      <c r="G430" s="68">
        <v>-1.9E-3</v>
      </c>
      <c r="H430" s="64"/>
    </row>
    <row r="431" spans="1:8" x14ac:dyDescent="0.25">
      <c r="A431" s="65">
        <v>43000</v>
      </c>
      <c r="B431" s="66">
        <v>9964.4</v>
      </c>
      <c r="C431" s="66">
        <v>10094.35</v>
      </c>
      <c r="D431" s="66">
        <v>10095.049999999999</v>
      </c>
      <c r="E431" s="66">
        <v>9952.7999999999993</v>
      </c>
      <c r="F431" s="67" t="s">
        <v>2266</v>
      </c>
      <c r="G431" s="68">
        <v>-1.5599999999999999E-2</v>
      </c>
      <c r="H431" s="64"/>
    </row>
    <row r="432" spans="1:8" x14ac:dyDescent="0.25">
      <c r="A432" s="65">
        <v>43003</v>
      </c>
      <c r="B432" s="66">
        <v>9872.6</v>
      </c>
      <c r="C432" s="66">
        <v>9960.1</v>
      </c>
      <c r="D432" s="66">
        <v>9960.5</v>
      </c>
      <c r="E432" s="66">
        <v>9816.0499999999993</v>
      </c>
      <c r="F432" s="67" t="s">
        <v>2265</v>
      </c>
      <c r="G432" s="68">
        <v>-9.1999999999999998E-3</v>
      </c>
      <c r="H432" s="64"/>
    </row>
    <row r="433" spans="1:8" x14ac:dyDescent="0.25">
      <c r="A433" s="65">
        <v>43004</v>
      </c>
      <c r="B433" s="66">
        <v>9871.5</v>
      </c>
      <c r="C433" s="66">
        <v>9875.25</v>
      </c>
      <c r="D433" s="66">
        <v>9891.35</v>
      </c>
      <c r="E433" s="66">
        <v>9813</v>
      </c>
      <c r="F433" s="67" t="s">
        <v>2264</v>
      </c>
      <c r="G433" s="68">
        <v>-1E-4</v>
      </c>
      <c r="H433" s="64"/>
    </row>
    <row r="434" spans="1:8" x14ac:dyDescent="0.25">
      <c r="A434" s="65">
        <v>43005</v>
      </c>
      <c r="B434" s="66">
        <v>9735.75</v>
      </c>
      <c r="C434" s="66">
        <v>9920.6</v>
      </c>
      <c r="D434" s="66">
        <v>9921.0499999999993</v>
      </c>
      <c r="E434" s="66">
        <v>9714.4</v>
      </c>
      <c r="F434" s="67" t="s">
        <v>2263</v>
      </c>
      <c r="G434" s="68">
        <v>-1.38E-2</v>
      </c>
      <c r="H434" s="64"/>
    </row>
    <row r="435" spans="1:8" x14ac:dyDescent="0.25">
      <c r="A435" s="65">
        <v>43006</v>
      </c>
      <c r="B435" s="66">
        <v>9768.9500000000007</v>
      </c>
      <c r="C435" s="66">
        <v>9736.4</v>
      </c>
      <c r="D435" s="66">
        <v>9789.2000000000007</v>
      </c>
      <c r="E435" s="66">
        <v>9687.5499999999993</v>
      </c>
      <c r="F435" s="67" t="s">
        <v>2262</v>
      </c>
      <c r="G435" s="68">
        <v>3.3999999999999998E-3</v>
      </c>
      <c r="H435" s="64"/>
    </row>
    <row r="436" spans="1:8" x14ac:dyDescent="0.25">
      <c r="A436" s="65">
        <v>43007</v>
      </c>
      <c r="B436" s="66">
        <v>9788.6</v>
      </c>
      <c r="C436" s="66">
        <v>9814.2999999999993</v>
      </c>
      <c r="D436" s="66">
        <v>9854</v>
      </c>
      <c r="E436" s="66">
        <v>9775.35</v>
      </c>
      <c r="F436" s="67" t="s">
        <v>2261</v>
      </c>
      <c r="G436" s="68">
        <v>2E-3</v>
      </c>
      <c r="H436" s="64"/>
    </row>
    <row r="437" spans="1:8" x14ac:dyDescent="0.25">
      <c r="A437" s="65">
        <v>43011</v>
      </c>
      <c r="B437" s="66">
        <v>9859.5</v>
      </c>
      <c r="C437" s="66">
        <v>9893.2999999999993</v>
      </c>
      <c r="D437" s="66">
        <v>9895.4</v>
      </c>
      <c r="E437" s="66">
        <v>9831.0499999999993</v>
      </c>
      <c r="F437" s="67" t="s">
        <v>2260</v>
      </c>
      <c r="G437" s="68">
        <v>7.1999999999999998E-3</v>
      </c>
      <c r="H437" s="64"/>
    </row>
    <row r="438" spans="1:8" x14ac:dyDescent="0.25">
      <c r="A438" s="65">
        <v>43012</v>
      </c>
      <c r="B438" s="66">
        <v>9914.9</v>
      </c>
      <c r="C438" s="66">
        <v>9884.35</v>
      </c>
      <c r="D438" s="66">
        <v>9938.2999999999993</v>
      </c>
      <c r="E438" s="66">
        <v>9850.65</v>
      </c>
      <c r="F438" s="67" t="s">
        <v>2259</v>
      </c>
      <c r="G438" s="68">
        <v>5.5999999999999999E-3</v>
      </c>
      <c r="H438" s="64"/>
    </row>
    <row r="439" spans="1:8" x14ac:dyDescent="0.25">
      <c r="A439" s="65">
        <v>43013</v>
      </c>
      <c r="B439" s="66">
        <v>9888.7000000000007</v>
      </c>
      <c r="C439" s="66">
        <v>9927</v>
      </c>
      <c r="D439" s="66">
        <v>9945.9500000000007</v>
      </c>
      <c r="E439" s="66">
        <v>9881.85</v>
      </c>
      <c r="F439" s="67" t="s">
        <v>2258</v>
      </c>
      <c r="G439" s="68">
        <v>-2.5999999999999999E-3</v>
      </c>
      <c r="H439" s="64"/>
    </row>
    <row r="440" spans="1:8" x14ac:dyDescent="0.25">
      <c r="A440" s="65">
        <v>43014</v>
      </c>
      <c r="B440" s="66">
        <v>9979.7000000000007</v>
      </c>
      <c r="C440" s="66">
        <v>9908.15</v>
      </c>
      <c r="D440" s="66">
        <v>9989.35</v>
      </c>
      <c r="E440" s="66">
        <v>9906.6</v>
      </c>
      <c r="F440" s="67" t="s">
        <v>2257</v>
      </c>
      <c r="G440" s="68">
        <v>9.1999999999999998E-3</v>
      </c>
      <c r="H440" s="64"/>
    </row>
    <row r="441" spans="1:8" x14ac:dyDescent="0.25">
      <c r="A441" s="65">
        <v>43017</v>
      </c>
      <c r="B441" s="66">
        <v>9988.75</v>
      </c>
      <c r="C441" s="66">
        <v>9988.2000000000007</v>
      </c>
      <c r="D441" s="66">
        <v>10015.75</v>
      </c>
      <c r="E441" s="66">
        <v>9959.4500000000007</v>
      </c>
      <c r="F441" s="67" t="s">
        <v>2256</v>
      </c>
      <c r="G441" s="68">
        <v>8.9999999999999998E-4</v>
      </c>
      <c r="H441" s="64"/>
    </row>
    <row r="442" spans="1:8" x14ac:dyDescent="0.25">
      <c r="A442" s="65">
        <v>43018</v>
      </c>
      <c r="B442" s="66">
        <v>10016.950000000001</v>
      </c>
      <c r="C442" s="66">
        <v>10013.700000000001</v>
      </c>
      <c r="D442" s="66">
        <v>10034</v>
      </c>
      <c r="E442" s="66">
        <v>10002.299999999999</v>
      </c>
      <c r="F442" s="67" t="s">
        <v>2255</v>
      </c>
      <c r="G442" s="68">
        <v>2.8E-3</v>
      </c>
      <c r="H442" s="64"/>
    </row>
    <row r="443" spans="1:8" x14ac:dyDescent="0.25">
      <c r="A443" s="65">
        <v>43019</v>
      </c>
      <c r="B443" s="66">
        <v>9984.7999999999993</v>
      </c>
      <c r="C443" s="66">
        <v>10042.6</v>
      </c>
      <c r="D443" s="66">
        <v>10067.25</v>
      </c>
      <c r="E443" s="66">
        <v>9955.7999999999993</v>
      </c>
      <c r="F443" s="67" t="s">
        <v>2254</v>
      </c>
      <c r="G443" s="68">
        <v>-3.2000000000000002E-3</v>
      </c>
      <c r="H443" s="64"/>
    </row>
    <row r="444" spans="1:8" x14ac:dyDescent="0.25">
      <c r="A444" s="65">
        <v>43020</v>
      </c>
      <c r="B444" s="66">
        <v>10096.4</v>
      </c>
      <c r="C444" s="66">
        <v>10011.200000000001</v>
      </c>
      <c r="D444" s="66">
        <v>10104.450000000001</v>
      </c>
      <c r="E444" s="66">
        <v>9977.1</v>
      </c>
      <c r="F444" s="67" t="s">
        <v>2253</v>
      </c>
      <c r="G444" s="68">
        <v>1.12E-2</v>
      </c>
      <c r="H444" s="64"/>
    </row>
    <row r="445" spans="1:8" x14ac:dyDescent="0.25">
      <c r="A445" s="65">
        <v>43021</v>
      </c>
      <c r="B445" s="66">
        <v>10167.450000000001</v>
      </c>
      <c r="C445" s="66">
        <v>10123.700000000001</v>
      </c>
      <c r="D445" s="66">
        <v>10191.9</v>
      </c>
      <c r="E445" s="66">
        <v>10120.1</v>
      </c>
      <c r="F445" s="67" t="s">
        <v>986</v>
      </c>
      <c r="G445" s="68">
        <v>7.0000000000000001E-3</v>
      </c>
      <c r="H445" s="64"/>
    </row>
    <row r="446" spans="1:8" x14ac:dyDescent="0.25">
      <c r="A446" s="65">
        <v>43024</v>
      </c>
      <c r="B446" s="66">
        <v>10230.85</v>
      </c>
      <c r="C446" s="66">
        <v>10207.4</v>
      </c>
      <c r="D446" s="66">
        <v>10242.950000000001</v>
      </c>
      <c r="E446" s="66">
        <v>10175.1</v>
      </c>
      <c r="F446" s="67" t="s">
        <v>2150</v>
      </c>
      <c r="G446" s="68">
        <v>6.1999999999999998E-3</v>
      </c>
      <c r="H446" s="64"/>
    </row>
    <row r="447" spans="1:8" x14ac:dyDescent="0.25">
      <c r="A447" s="65">
        <v>43025</v>
      </c>
      <c r="B447" s="66">
        <v>10234.450000000001</v>
      </c>
      <c r="C447" s="66">
        <v>10227.65</v>
      </c>
      <c r="D447" s="66">
        <v>10251.85</v>
      </c>
      <c r="E447" s="66">
        <v>10212.6</v>
      </c>
      <c r="F447" s="67" t="s">
        <v>2252</v>
      </c>
      <c r="G447" s="68">
        <v>4.0000000000000002E-4</v>
      </c>
      <c r="H447" s="64"/>
    </row>
    <row r="448" spans="1:8" x14ac:dyDescent="0.25">
      <c r="A448" s="65">
        <v>43026</v>
      </c>
      <c r="B448" s="66">
        <v>10210.85</v>
      </c>
      <c r="C448" s="66">
        <v>10209.4</v>
      </c>
      <c r="D448" s="66">
        <v>10236.450000000001</v>
      </c>
      <c r="E448" s="66">
        <v>10175.75</v>
      </c>
      <c r="F448" s="67" t="s">
        <v>2251</v>
      </c>
      <c r="G448" s="68">
        <v>-2.3E-3</v>
      </c>
      <c r="H448" s="64"/>
    </row>
    <row r="449" spans="1:8" x14ac:dyDescent="0.25">
      <c r="A449" s="65">
        <v>43027</v>
      </c>
      <c r="B449" s="66">
        <v>10146.549999999999</v>
      </c>
      <c r="C449" s="66">
        <v>10210.35</v>
      </c>
      <c r="D449" s="66">
        <v>10211.950000000001</v>
      </c>
      <c r="E449" s="66">
        <v>10123.35</v>
      </c>
      <c r="F449" s="67" t="s">
        <v>2250</v>
      </c>
      <c r="G449" s="68">
        <v>-6.3E-3</v>
      </c>
      <c r="H449" s="64"/>
    </row>
    <row r="450" spans="1:8" x14ac:dyDescent="0.25">
      <c r="A450" s="65">
        <v>43031</v>
      </c>
      <c r="B450" s="66">
        <v>10184.85</v>
      </c>
      <c r="C450" s="66">
        <v>10176.65</v>
      </c>
      <c r="D450" s="66">
        <v>10224.15</v>
      </c>
      <c r="E450" s="66">
        <v>10124.5</v>
      </c>
      <c r="F450" s="67" t="s">
        <v>2249</v>
      </c>
      <c r="G450" s="68">
        <v>3.8E-3</v>
      </c>
      <c r="H450" s="64"/>
    </row>
    <row r="451" spans="1:8" x14ac:dyDescent="0.25">
      <c r="A451" s="65">
        <v>43032</v>
      </c>
      <c r="B451" s="66">
        <v>10207.700000000001</v>
      </c>
      <c r="C451" s="66">
        <v>10218.549999999999</v>
      </c>
      <c r="D451" s="66">
        <v>10237.75</v>
      </c>
      <c r="E451" s="66">
        <v>10182.4</v>
      </c>
      <c r="F451" s="67" t="s">
        <v>2248</v>
      </c>
      <c r="G451" s="68">
        <v>2.2000000000000001E-3</v>
      </c>
      <c r="H451" s="64"/>
    </row>
    <row r="452" spans="1:8" x14ac:dyDescent="0.25">
      <c r="A452" s="65">
        <v>43033</v>
      </c>
      <c r="B452" s="66">
        <v>10295.35</v>
      </c>
      <c r="C452" s="66">
        <v>10321.15</v>
      </c>
      <c r="D452" s="66">
        <v>10340.549999999999</v>
      </c>
      <c r="E452" s="66">
        <v>10240.9</v>
      </c>
      <c r="F452" s="67" t="s">
        <v>2247</v>
      </c>
      <c r="G452" s="68">
        <v>8.6E-3</v>
      </c>
      <c r="H452" s="64"/>
    </row>
    <row r="453" spans="1:8" x14ac:dyDescent="0.25">
      <c r="A453" s="65">
        <v>43034</v>
      </c>
      <c r="B453" s="66">
        <v>10343.799999999999</v>
      </c>
      <c r="C453" s="66">
        <v>10291.799999999999</v>
      </c>
      <c r="D453" s="66">
        <v>10355.65</v>
      </c>
      <c r="E453" s="66">
        <v>10271.85</v>
      </c>
      <c r="F453" s="67" t="s">
        <v>2246</v>
      </c>
      <c r="G453" s="68">
        <v>4.7000000000000002E-3</v>
      </c>
      <c r="H453" s="64"/>
    </row>
    <row r="454" spans="1:8" x14ac:dyDescent="0.25">
      <c r="A454" s="65">
        <v>43035</v>
      </c>
      <c r="B454" s="66">
        <v>10323.049999999999</v>
      </c>
      <c r="C454" s="66">
        <v>10362.299999999999</v>
      </c>
      <c r="D454" s="66">
        <v>10366.15</v>
      </c>
      <c r="E454" s="66">
        <v>10311.299999999999</v>
      </c>
      <c r="F454" s="67" t="s">
        <v>2245</v>
      </c>
      <c r="G454" s="68">
        <v>-2E-3</v>
      </c>
      <c r="H454" s="64"/>
    </row>
    <row r="455" spans="1:8" x14ac:dyDescent="0.25">
      <c r="A455" s="65">
        <v>43038</v>
      </c>
      <c r="B455" s="66">
        <v>10363.65</v>
      </c>
      <c r="C455" s="66">
        <v>10353.85</v>
      </c>
      <c r="D455" s="66">
        <v>10384.5</v>
      </c>
      <c r="E455" s="66">
        <v>10344.299999999999</v>
      </c>
      <c r="F455" s="67" t="s">
        <v>2244</v>
      </c>
      <c r="G455" s="68">
        <v>3.8999999999999998E-3</v>
      </c>
      <c r="H455" s="64"/>
    </row>
    <row r="456" spans="1:8" x14ac:dyDescent="0.25">
      <c r="A456" s="65">
        <v>43039</v>
      </c>
      <c r="B456" s="66">
        <v>10335.299999999999</v>
      </c>
      <c r="C456" s="66">
        <v>10364.9</v>
      </c>
      <c r="D456" s="66">
        <v>10367.700000000001</v>
      </c>
      <c r="E456" s="66">
        <v>10323.950000000001</v>
      </c>
      <c r="F456" s="67" t="s">
        <v>2243</v>
      </c>
      <c r="G456" s="68">
        <v>-2.7000000000000001E-3</v>
      </c>
      <c r="H456" s="64"/>
    </row>
    <row r="457" spans="1:8" x14ac:dyDescent="0.25">
      <c r="A457" s="65">
        <v>43040</v>
      </c>
      <c r="B457" s="66">
        <v>10440.5</v>
      </c>
      <c r="C457" s="66">
        <v>10390.35</v>
      </c>
      <c r="D457" s="66">
        <v>10451.65</v>
      </c>
      <c r="E457" s="66">
        <v>10383.049999999999</v>
      </c>
      <c r="F457" s="67" t="s">
        <v>2242</v>
      </c>
      <c r="G457" s="68">
        <v>1.0200000000000001E-2</v>
      </c>
      <c r="H457" s="64"/>
    </row>
    <row r="458" spans="1:8" x14ac:dyDescent="0.25">
      <c r="A458" s="65">
        <v>43041</v>
      </c>
      <c r="B458" s="66">
        <v>10423.799999999999</v>
      </c>
      <c r="C458" s="66">
        <v>10440.5</v>
      </c>
      <c r="D458" s="66">
        <v>10453</v>
      </c>
      <c r="E458" s="66">
        <v>10412.549999999999</v>
      </c>
      <c r="F458" s="67" t="s">
        <v>2241</v>
      </c>
      <c r="G458" s="68">
        <v>-1.6000000000000001E-3</v>
      </c>
      <c r="H458" s="64"/>
    </row>
    <row r="459" spans="1:8" x14ac:dyDescent="0.25">
      <c r="A459" s="65">
        <v>43042</v>
      </c>
      <c r="B459" s="66">
        <v>10452.5</v>
      </c>
      <c r="C459" s="66">
        <v>10461.549999999999</v>
      </c>
      <c r="D459" s="66">
        <v>10461.700000000001</v>
      </c>
      <c r="E459" s="66">
        <v>10403.6</v>
      </c>
      <c r="F459" s="67" t="s">
        <v>285</v>
      </c>
      <c r="G459" s="68">
        <v>2.8E-3</v>
      </c>
      <c r="H459" s="64"/>
    </row>
    <row r="460" spans="1:8" x14ac:dyDescent="0.25">
      <c r="A460" s="65">
        <v>43045</v>
      </c>
      <c r="B460" s="66">
        <v>10451.799999999999</v>
      </c>
      <c r="C460" s="66">
        <v>10431.75</v>
      </c>
      <c r="D460" s="66">
        <v>10490.45</v>
      </c>
      <c r="E460" s="66">
        <v>10413.75</v>
      </c>
      <c r="F460" s="67" t="s">
        <v>2240</v>
      </c>
      <c r="G460" s="68">
        <v>-1E-4</v>
      </c>
      <c r="H460" s="64"/>
    </row>
    <row r="461" spans="1:8" x14ac:dyDescent="0.25">
      <c r="A461" s="65">
        <v>43046</v>
      </c>
      <c r="B461" s="66">
        <v>10350.15</v>
      </c>
      <c r="C461" s="66">
        <v>10477.15</v>
      </c>
      <c r="D461" s="66">
        <v>10485.75</v>
      </c>
      <c r="E461" s="66">
        <v>10340.799999999999</v>
      </c>
      <c r="F461" s="67" t="s">
        <v>2239</v>
      </c>
      <c r="G461" s="68">
        <v>-9.7000000000000003E-3</v>
      </c>
      <c r="H461" s="64"/>
    </row>
    <row r="462" spans="1:8" x14ac:dyDescent="0.25">
      <c r="A462" s="65">
        <v>43047</v>
      </c>
      <c r="B462" s="66">
        <v>10303.15</v>
      </c>
      <c r="C462" s="66">
        <v>10361.950000000001</v>
      </c>
      <c r="D462" s="66">
        <v>10384.25</v>
      </c>
      <c r="E462" s="66">
        <v>10285.5</v>
      </c>
      <c r="F462" s="67" t="s">
        <v>2238</v>
      </c>
      <c r="G462" s="68">
        <v>-4.4999999999999997E-3</v>
      </c>
      <c r="H462" s="64"/>
    </row>
    <row r="463" spans="1:8" x14ac:dyDescent="0.25">
      <c r="A463" s="65">
        <v>43048</v>
      </c>
      <c r="B463" s="66">
        <v>10308.950000000001</v>
      </c>
      <c r="C463" s="66">
        <v>10358.65</v>
      </c>
      <c r="D463" s="66">
        <v>10368.450000000001</v>
      </c>
      <c r="E463" s="66">
        <v>10266.950000000001</v>
      </c>
      <c r="F463" s="67" t="s">
        <v>2237</v>
      </c>
      <c r="G463" s="68">
        <v>5.9999999999999995E-4</v>
      </c>
      <c r="H463" s="64"/>
    </row>
    <row r="464" spans="1:8" x14ac:dyDescent="0.25">
      <c r="A464" s="65">
        <v>43049</v>
      </c>
      <c r="B464" s="66">
        <v>10321.75</v>
      </c>
      <c r="C464" s="66">
        <v>10304.35</v>
      </c>
      <c r="D464" s="66">
        <v>10344.950000000001</v>
      </c>
      <c r="E464" s="66">
        <v>10254.1</v>
      </c>
      <c r="F464" s="67" t="s">
        <v>2236</v>
      </c>
      <c r="G464" s="68">
        <v>1.1999999999999999E-3</v>
      </c>
      <c r="H464" s="64"/>
    </row>
    <row r="465" spans="1:8" x14ac:dyDescent="0.25">
      <c r="A465" s="65">
        <v>43052</v>
      </c>
      <c r="B465" s="66">
        <v>10224.950000000001</v>
      </c>
      <c r="C465" s="66">
        <v>10322</v>
      </c>
      <c r="D465" s="66">
        <v>10334.15</v>
      </c>
      <c r="E465" s="66">
        <v>10216.25</v>
      </c>
      <c r="F465" s="67" t="s">
        <v>2235</v>
      </c>
      <c r="G465" s="68">
        <v>-9.4000000000000004E-3</v>
      </c>
      <c r="H465" s="64"/>
    </row>
    <row r="466" spans="1:8" x14ac:dyDescent="0.25">
      <c r="A466" s="65">
        <v>43053</v>
      </c>
      <c r="B466" s="66">
        <v>10186.6</v>
      </c>
      <c r="C466" s="66">
        <v>10223.4</v>
      </c>
      <c r="D466" s="66">
        <v>10248</v>
      </c>
      <c r="E466" s="66">
        <v>10175.549999999999</v>
      </c>
      <c r="F466" s="67" t="s">
        <v>2234</v>
      </c>
      <c r="G466" s="68">
        <v>-3.8E-3</v>
      </c>
      <c r="H466" s="64"/>
    </row>
    <row r="467" spans="1:8" x14ac:dyDescent="0.25">
      <c r="A467" s="65">
        <v>43054</v>
      </c>
      <c r="B467" s="66">
        <v>10118.049999999999</v>
      </c>
      <c r="C467" s="66">
        <v>10171.950000000001</v>
      </c>
      <c r="D467" s="66">
        <v>10175.450000000001</v>
      </c>
      <c r="E467" s="66">
        <v>10094</v>
      </c>
      <c r="F467" s="67" t="s">
        <v>2233</v>
      </c>
      <c r="G467" s="68">
        <v>-6.7000000000000002E-3</v>
      </c>
      <c r="H467" s="64"/>
    </row>
    <row r="468" spans="1:8" x14ac:dyDescent="0.25">
      <c r="A468" s="65">
        <v>43055</v>
      </c>
      <c r="B468" s="66">
        <v>10214.75</v>
      </c>
      <c r="C468" s="66">
        <v>10152.9</v>
      </c>
      <c r="D468" s="66">
        <v>10232.25</v>
      </c>
      <c r="E468" s="66">
        <v>10139.200000000001</v>
      </c>
      <c r="F468" s="67" t="s">
        <v>2232</v>
      </c>
      <c r="G468" s="68">
        <v>9.5999999999999992E-3</v>
      </c>
      <c r="H468" s="64"/>
    </row>
    <row r="469" spans="1:8" x14ac:dyDescent="0.25">
      <c r="A469" s="65">
        <v>43056</v>
      </c>
      <c r="B469" s="66">
        <v>10283.6</v>
      </c>
      <c r="C469" s="66">
        <v>10324.549999999999</v>
      </c>
      <c r="D469" s="66">
        <v>10343.6</v>
      </c>
      <c r="E469" s="66">
        <v>10268.049999999999</v>
      </c>
      <c r="F469" s="67" t="s">
        <v>2231</v>
      </c>
      <c r="G469" s="68">
        <v>6.7000000000000002E-3</v>
      </c>
      <c r="H469" s="64"/>
    </row>
    <row r="470" spans="1:8" x14ac:dyDescent="0.25">
      <c r="A470" s="65">
        <v>43059</v>
      </c>
      <c r="B470" s="66">
        <v>10298.75</v>
      </c>
      <c r="C470" s="66">
        <v>10287.200000000001</v>
      </c>
      <c r="D470" s="66">
        <v>10309.85</v>
      </c>
      <c r="E470" s="66">
        <v>10261.5</v>
      </c>
      <c r="F470" s="67" t="s">
        <v>2230</v>
      </c>
      <c r="G470" s="68">
        <v>1.5E-3</v>
      </c>
      <c r="H470" s="64"/>
    </row>
    <row r="471" spans="1:8" x14ac:dyDescent="0.25">
      <c r="A471" s="65">
        <v>43060</v>
      </c>
      <c r="B471" s="66">
        <v>10326.9</v>
      </c>
      <c r="C471" s="66">
        <v>10329.25</v>
      </c>
      <c r="D471" s="66">
        <v>10358.700000000001</v>
      </c>
      <c r="E471" s="66">
        <v>10315.049999999999</v>
      </c>
      <c r="F471" s="67" t="s">
        <v>2229</v>
      </c>
      <c r="G471" s="68">
        <v>2.7000000000000001E-3</v>
      </c>
      <c r="H471" s="64"/>
    </row>
    <row r="472" spans="1:8" x14ac:dyDescent="0.25">
      <c r="A472" s="65">
        <v>43061</v>
      </c>
      <c r="B472" s="66">
        <v>10342.299999999999</v>
      </c>
      <c r="C472" s="66">
        <v>10350.799999999999</v>
      </c>
      <c r="D472" s="66">
        <v>10368.700000000001</v>
      </c>
      <c r="E472" s="66">
        <v>10309.549999999999</v>
      </c>
      <c r="F472" s="67" t="s">
        <v>2228</v>
      </c>
      <c r="G472" s="68">
        <v>1.5E-3</v>
      </c>
      <c r="H472" s="64"/>
    </row>
    <row r="473" spans="1:8" x14ac:dyDescent="0.25">
      <c r="A473" s="65">
        <v>43062</v>
      </c>
      <c r="B473" s="66">
        <v>10348.75</v>
      </c>
      <c r="C473" s="66">
        <v>10358.450000000001</v>
      </c>
      <c r="D473" s="66">
        <v>10374.299999999999</v>
      </c>
      <c r="E473" s="66">
        <v>10307.299999999999</v>
      </c>
      <c r="F473" s="67" t="s">
        <v>2227</v>
      </c>
      <c r="G473" s="68">
        <v>5.9999999999999995E-4</v>
      </c>
      <c r="H473" s="64"/>
    </row>
    <row r="474" spans="1:8" x14ac:dyDescent="0.25">
      <c r="A474" s="65">
        <v>43063</v>
      </c>
      <c r="B474" s="66">
        <v>10389.700000000001</v>
      </c>
      <c r="C474" s="66">
        <v>10366.799999999999</v>
      </c>
      <c r="D474" s="66">
        <v>10404.5</v>
      </c>
      <c r="E474" s="66">
        <v>10362.25</v>
      </c>
      <c r="F474" s="67" t="s">
        <v>2226</v>
      </c>
      <c r="G474" s="68">
        <v>4.0000000000000001E-3</v>
      </c>
      <c r="H474" s="64"/>
    </row>
    <row r="475" spans="1:8" x14ac:dyDescent="0.25">
      <c r="A475" s="65">
        <v>43066</v>
      </c>
      <c r="B475" s="66">
        <v>10399.549999999999</v>
      </c>
      <c r="C475" s="66">
        <v>10361.049999999999</v>
      </c>
      <c r="D475" s="66">
        <v>10407.15</v>
      </c>
      <c r="E475" s="66">
        <v>10340.200000000001</v>
      </c>
      <c r="F475" s="67" t="s">
        <v>2225</v>
      </c>
      <c r="G475" s="68">
        <v>8.9999999999999998E-4</v>
      </c>
      <c r="H475" s="64"/>
    </row>
    <row r="476" spans="1:8" x14ac:dyDescent="0.25">
      <c r="A476" s="65">
        <v>43067</v>
      </c>
      <c r="B476" s="66">
        <v>10370.25</v>
      </c>
      <c r="C476" s="66">
        <v>10387.9</v>
      </c>
      <c r="D476" s="66">
        <v>10409.549999999999</v>
      </c>
      <c r="E476" s="66">
        <v>10355.200000000001</v>
      </c>
      <c r="F476" s="67" t="s">
        <v>2224</v>
      </c>
      <c r="G476" s="68">
        <v>-2.8E-3</v>
      </c>
      <c r="H476" s="64"/>
    </row>
    <row r="477" spans="1:8" x14ac:dyDescent="0.25">
      <c r="A477" s="65">
        <v>43068</v>
      </c>
      <c r="B477" s="66">
        <v>10361.299999999999</v>
      </c>
      <c r="C477" s="66">
        <v>10376.65</v>
      </c>
      <c r="D477" s="66">
        <v>10392.950000000001</v>
      </c>
      <c r="E477" s="66">
        <v>10345.9</v>
      </c>
      <c r="F477" s="67" t="s">
        <v>2223</v>
      </c>
      <c r="G477" s="68">
        <v>-8.9999999999999998E-4</v>
      </c>
      <c r="H477" s="64"/>
    </row>
    <row r="478" spans="1:8" x14ac:dyDescent="0.25">
      <c r="A478" s="65">
        <v>43069</v>
      </c>
      <c r="B478" s="66">
        <v>10226.549999999999</v>
      </c>
      <c r="C478" s="66">
        <v>10332.700000000001</v>
      </c>
      <c r="D478" s="66">
        <v>10332.700000000001</v>
      </c>
      <c r="E478" s="66">
        <v>10211.25</v>
      </c>
      <c r="F478" s="67" t="s">
        <v>138</v>
      </c>
      <c r="G478" s="68">
        <v>-1.2999999999999999E-2</v>
      </c>
      <c r="H478" s="64"/>
    </row>
    <row r="479" spans="1:8" x14ac:dyDescent="0.25">
      <c r="A479" s="65">
        <v>43070</v>
      </c>
      <c r="B479" s="66">
        <v>10121.799999999999</v>
      </c>
      <c r="C479" s="66">
        <v>10263.700000000001</v>
      </c>
      <c r="D479" s="66">
        <v>10272.700000000001</v>
      </c>
      <c r="E479" s="66">
        <v>10108.549999999999</v>
      </c>
      <c r="F479" s="67" t="s">
        <v>2222</v>
      </c>
      <c r="G479" s="68">
        <v>-1.0200000000000001E-2</v>
      </c>
      <c r="H479" s="64"/>
    </row>
    <row r="480" spans="1:8" x14ac:dyDescent="0.25">
      <c r="A480" s="65">
        <v>43073</v>
      </c>
      <c r="B480" s="66">
        <v>10127.75</v>
      </c>
      <c r="C480" s="66">
        <v>10175.049999999999</v>
      </c>
      <c r="D480" s="66">
        <v>10179.200000000001</v>
      </c>
      <c r="E480" s="66">
        <v>10095.700000000001</v>
      </c>
      <c r="F480" s="67" t="s">
        <v>2221</v>
      </c>
      <c r="G480" s="68">
        <v>5.9999999999999995E-4</v>
      </c>
      <c r="H480" s="64"/>
    </row>
    <row r="481" spans="1:8" x14ac:dyDescent="0.25">
      <c r="A481" s="65">
        <v>43074</v>
      </c>
      <c r="B481" s="66">
        <v>10118.25</v>
      </c>
      <c r="C481" s="66">
        <v>10118.25</v>
      </c>
      <c r="D481" s="66">
        <v>10147.950000000001</v>
      </c>
      <c r="E481" s="66">
        <v>10069.1</v>
      </c>
      <c r="F481" s="67" t="s">
        <v>2220</v>
      </c>
      <c r="G481" s="68">
        <v>-8.9999999999999998E-4</v>
      </c>
      <c r="H481" s="64"/>
    </row>
    <row r="482" spans="1:8" x14ac:dyDescent="0.25">
      <c r="A482" s="65">
        <v>43075</v>
      </c>
      <c r="B482" s="66">
        <v>10044.1</v>
      </c>
      <c r="C482" s="66">
        <v>10088.799999999999</v>
      </c>
      <c r="D482" s="66">
        <v>10104.200000000001</v>
      </c>
      <c r="E482" s="66">
        <v>10033.35</v>
      </c>
      <c r="F482" s="67" t="s">
        <v>2219</v>
      </c>
      <c r="G482" s="68">
        <v>-7.3000000000000001E-3</v>
      </c>
      <c r="H482" s="64"/>
    </row>
    <row r="483" spans="1:8" x14ac:dyDescent="0.25">
      <c r="A483" s="65">
        <v>43076</v>
      </c>
      <c r="B483" s="66">
        <v>10166.700000000001</v>
      </c>
      <c r="C483" s="66">
        <v>10063.450000000001</v>
      </c>
      <c r="D483" s="66">
        <v>10182.65</v>
      </c>
      <c r="E483" s="66">
        <v>10061.9</v>
      </c>
      <c r="F483" s="67" t="s">
        <v>2218</v>
      </c>
      <c r="G483" s="68">
        <v>1.2200000000000001E-2</v>
      </c>
      <c r="H483" s="64"/>
    </row>
    <row r="484" spans="1:8" x14ac:dyDescent="0.25">
      <c r="A484" s="65">
        <v>43077</v>
      </c>
      <c r="B484" s="66">
        <v>10265.65</v>
      </c>
      <c r="C484" s="66">
        <v>10198.450000000001</v>
      </c>
      <c r="D484" s="66">
        <v>10270.85</v>
      </c>
      <c r="E484" s="66">
        <v>10195.25</v>
      </c>
      <c r="F484" s="67" t="s">
        <v>2217</v>
      </c>
      <c r="G484" s="68">
        <v>9.7000000000000003E-3</v>
      </c>
      <c r="H484" s="64"/>
    </row>
    <row r="485" spans="1:8" x14ac:dyDescent="0.25">
      <c r="A485" s="65">
        <v>43080</v>
      </c>
      <c r="B485" s="66">
        <v>10322.25</v>
      </c>
      <c r="C485" s="66">
        <v>10310.5</v>
      </c>
      <c r="D485" s="66">
        <v>10329.200000000001</v>
      </c>
      <c r="E485" s="66">
        <v>10282.049999999999</v>
      </c>
      <c r="F485" s="67" t="s">
        <v>2216</v>
      </c>
      <c r="G485" s="68">
        <v>5.4999999999999997E-3</v>
      </c>
      <c r="H485" s="64"/>
    </row>
    <row r="486" spans="1:8" x14ac:dyDescent="0.25">
      <c r="A486" s="65">
        <v>43081</v>
      </c>
      <c r="B486" s="66">
        <v>10240.15</v>
      </c>
      <c r="C486" s="66">
        <v>10324.9</v>
      </c>
      <c r="D486" s="66">
        <v>10326.1</v>
      </c>
      <c r="E486" s="66">
        <v>10230.200000000001</v>
      </c>
      <c r="F486" s="67" t="s">
        <v>2215</v>
      </c>
      <c r="G486" s="68">
        <v>-8.0000000000000002E-3</v>
      </c>
      <c r="H486" s="64"/>
    </row>
    <row r="487" spans="1:8" x14ac:dyDescent="0.25">
      <c r="A487" s="65">
        <v>43082</v>
      </c>
      <c r="B487" s="66">
        <v>10192.950000000001</v>
      </c>
      <c r="C487" s="66">
        <v>10236.6</v>
      </c>
      <c r="D487" s="66">
        <v>10296.549999999999</v>
      </c>
      <c r="E487" s="66">
        <v>10169.85</v>
      </c>
      <c r="F487" s="67" t="s">
        <v>2214</v>
      </c>
      <c r="G487" s="68">
        <v>-4.5999999999999999E-3</v>
      </c>
      <c r="H487" s="64"/>
    </row>
    <row r="488" spans="1:8" x14ac:dyDescent="0.25">
      <c r="A488" s="65">
        <v>43083</v>
      </c>
      <c r="B488" s="66">
        <v>10252.1</v>
      </c>
      <c r="C488" s="66">
        <v>10229.299999999999</v>
      </c>
      <c r="D488" s="66">
        <v>10276.1</v>
      </c>
      <c r="E488" s="66">
        <v>10141.549999999999</v>
      </c>
      <c r="F488" s="67" t="s">
        <v>2213</v>
      </c>
      <c r="G488" s="68">
        <v>5.7999999999999996E-3</v>
      </c>
      <c r="H488" s="64"/>
    </row>
    <row r="489" spans="1:8" x14ac:dyDescent="0.25">
      <c r="A489" s="65">
        <v>43084</v>
      </c>
      <c r="B489" s="66">
        <v>10333.25</v>
      </c>
      <c r="C489" s="66">
        <v>10345.65</v>
      </c>
      <c r="D489" s="66">
        <v>10373.1</v>
      </c>
      <c r="E489" s="66">
        <v>10319.65</v>
      </c>
      <c r="F489" s="67" t="s">
        <v>2212</v>
      </c>
      <c r="G489" s="68">
        <v>7.9000000000000008E-3</v>
      </c>
      <c r="H489" s="64"/>
    </row>
    <row r="490" spans="1:8" x14ac:dyDescent="0.25">
      <c r="A490" s="65">
        <v>43087</v>
      </c>
      <c r="B490" s="66">
        <v>10388.75</v>
      </c>
      <c r="C490" s="66">
        <v>10263.1</v>
      </c>
      <c r="D490" s="66">
        <v>10443.549999999999</v>
      </c>
      <c r="E490" s="66">
        <v>10074.799999999999</v>
      </c>
      <c r="F490" s="67" t="s">
        <v>2211</v>
      </c>
      <c r="G490" s="68">
        <v>5.4000000000000003E-3</v>
      </c>
      <c r="H490" s="64"/>
    </row>
    <row r="491" spans="1:8" x14ac:dyDescent="0.25">
      <c r="A491" s="65">
        <v>43088</v>
      </c>
      <c r="B491" s="66">
        <v>10463.200000000001</v>
      </c>
      <c r="C491" s="66">
        <v>10414.799999999999</v>
      </c>
      <c r="D491" s="66">
        <v>10472.200000000001</v>
      </c>
      <c r="E491" s="66">
        <v>10406</v>
      </c>
      <c r="F491" s="67" t="s">
        <v>2210</v>
      </c>
      <c r="G491" s="68">
        <v>7.1999999999999998E-3</v>
      </c>
      <c r="H491" s="64"/>
    </row>
    <row r="492" spans="1:8" x14ac:dyDescent="0.25">
      <c r="A492" s="65">
        <v>43089</v>
      </c>
      <c r="B492" s="66">
        <v>10444.200000000001</v>
      </c>
      <c r="C492" s="66">
        <v>10494.4</v>
      </c>
      <c r="D492" s="66">
        <v>10494.45</v>
      </c>
      <c r="E492" s="66">
        <v>10437.15</v>
      </c>
      <c r="F492" s="67" t="s">
        <v>2209</v>
      </c>
      <c r="G492" s="68">
        <v>-1.8E-3</v>
      </c>
      <c r="H492" s="64"/>
    </row>
    <row r="493" spans="1:8" x14ac:dyDescent="0.25">
      <c r="A493" s="65">
        <v>43090</v>
      </c>
      <c r="B493" s="66">
        <v>10440.299999999999</v>
      </c>
      <c r="C493" s="66">
        <v>10473.950000000001</v>
      </c>
      <c r="D493" s="66">
        <v>10473.950000000001</v>
      </c>
      <c r="E493" s="66">
        <v>10426.9</v>
      </c>
      <c r="F493" s="67" t="s">
        <v>2208</v>
      </c>
      <c r="G493" s="68">
        <v>-4.0000000000000002E-4</v>
      </c>
      <c r="H493" s="64"/>
    </row>
    <row r="494" spans="1:8" x14ac:dyDescent="0.25">
      <c r="A494" s="65">
        <v>43091</v>
      </c>
      <c r="B494" s="66">
        <v>10493</v>
      </c>
      <c r="C494" s="66">
        <v>10457.299999999999</v>
      </c>
      <c r="D494" s="66">
        <v>10501.1</v>
      </c>
      <c r="E494" s="66">
        <v>10448.25</v>
      </c>
      <c r="F494" s="67" t="s">
        <v>2207</v>
      </c>
      <c r="G494" s="68">
        <v>5.0000000000000001E-3</v>
      </c>
      <c r="H494" s="64"/>
    </row>
    <row r="495" spans="1:8" x14ac:dyDescent="0.25">
      <c r="A495" s="65">
        <v>43095</v>
      </c>
      <c r="B495" s="66">
        <v>10531.5</v>
      </c>
      <c r="C495" s="66">
        <v>10512.3</v>
      </c>
      <c r="D495" s="66">
        <v>10545.45</v>
      </c>
      <c r="E495" s="66">
        <v>10477.950000000001</v>
      </c>
      <c r="F495" s="67" t="s">
        <v>2206</v>
      </c>
      <c r="G495" s="68">
        <v>3.7000000000000002E-3</v>
      </c>
      <c r="H495" s="64"/>
    </row>
    <row r="496" spans="1:8" x14ac:dyDescent="0.25">
      <c r="A496" s="65">
        <v>43096</v>
      </c>
      <c r="B496" s="66">
        <v>10490.75</v>
      </c>
      <c r="C496" s="66">
        <v>10531.05</v>
      </c>
      <c r="D496" s="66">
        <v>10552.4</v>
      </c>
      <c r="E496" s="66">
        <v>10469.25</v>
      </c>
      <c r="F496" s="67" t="s">
        <v>2205</v>
      </c>
      <c r="G496" s="68">
        <v>-3.8999999999999998E-3</v>
      </c>
      <c r="H496" s="64"/>
    </row>
    <row r="497" spans="1:8" x14ac:dyDescent="0.25">
      <c r="A497" s="65">
        <v>43097</v>
      </c>
      <c r="B497" s="66">
        <v>10477.9</v>
      </c>
      <c r="C497" s="66">
        <v>10498.2</v>
      </c>
      <c r="D497" s="66">
        <v>10534.55</v>
      </c>
      <c r="E497" s="66">
        <v>10460.450000000001</v>
      </c>
      <c r="F497" s="67" t="s">
        <v>2204</v>
      </c>
      <c r="G497" s="68">
        <v>-1.1999999999999999E-3</v>
      </c>
      <c r="H497" s="64"/>
    </row>
    <row r="498" spans="1:8" x14ac:dyDescent="0.25">
      <c r="A498" s="65">
        <v>43098</v>
      </c>
      <c r="B498" s="66">
        <v>10530.7</v>
      </c>
      <c r="C498" s="66">
        <v>10492.35</v>
      </c>
      <c r="D498" s="66">
        <v>10538.7</v>
      </c>
      <c r="E498" s="66">
        <v>10488.65</v>
      </c>
      <c r="F498" s="67" t="s">
        <v>2203</v>
      </c>
      <c r="G498" s="68">
        <v>5.0000000000000001E-3</v>
      </c>
      <c r="H498" s="64"/>
    </row>
    <row r="499" spans="1:8" x14ac:dyDescent="0.25">
      <c r="A499" s="65">
        <v>43101</v>
      </c>
      <c r="B499" s="66">
        <v>10435.549999999999</v>
      </c>
      <c r="C499" s="66">
        <v>10531.7</v>
      </c>
      <c r="D499" s="66">
        <v>10537.85</v>
      </c>
      <c r="E499" s="66">
        <v>10423.1</v>
      </c>
      <c r="F499" s="67" t="s">
        <v>2202</v>
      </c>
      <c r="G499" s="68">
        <v>-8.9999999999999993E-3</v>
      </c>
      <c r="H499" s="64"/>
    </row>
    <row r="500" spans="1:8" x14ac:dyDescent="0.25">
      <c r="A500" s="65">
        <v>43102</v>
      </c>
      <c r="B500" s="66">
        <v>10442.200000000001</v>
      </c>
      <c r="C500" s="66">
        <v>10477.549999999999</v>
      </c>
      <c r="D500" s="66">
        <v>10495.2</v>
      </c>
      <c r="E500" s="66">
        <v>10404.65</v>
      </c>
      <c r="F500" s="67" t="s">
        <v>2201</v>
      </c>
      <c r="G500" s="68">
        <v>5.9999999999999995E-4</v>
      </c>
      <c r="H500" s="64"/>
    </row>
    <row r="501" spans="1:8" x14ac:dyDescent="0.25">
      <c r="A501" s="65">
        <v>43103</v>
      </c>
      <c r="B501" s="66">
        <v>10443.200000000001</v>
      </c>
      <c r="C501" s="66">
        <v>10482.65</v>
      </c>
      <c r="D501" s="66">
        <v>10503.6</v>
      </c>
      <c r="E501" s="66">
        <v>10429.549999999999</v>
      </c>
      <c r="F501" s="67" t="s">
        <v>2200</v>
      </c>
      <c r="G501" s="68">
        <v>1E-4</v>
      </c>
      <c r="H501" s="64"/>
    </row>
    <row r="502" spans="1:8" x14ac:dyDescent="0.25">
      <c r="A502" s="65">
        <v>43104</v>
      </c>
      <c r="B502" s="66">
        <v>10504.8</v>
      </c>
      <c r="C502" s="66">
        <v>10469.4</v>
      </c>
      <c r="D502" s="66">
        <v>10513</v>
      </c>
      <c r="E502" s="66">
        <v>10441.450000000001</v>
      </c>
      <c r="F502" s="67" t="s">
        <v>2199</v>
      </c>
      <c r="G502" s="68">
        <v>5.8999999999999999E-3</v>
      </c>
      <c r="H502" s="64"/>
    </row>
    <row r="503" spans="1:8" x14ac:dyDescent="0.25">
      <c r="A503" s="65">
        <v>43105</v>
      </c>
      <c r="B503" s="66">
        <v>10558.85</v>
      </c>
      <c r="C503" s="66">
        <v>10534.25</v>
      </c>
      <c r="D503" s="66">
        <v>10566.1</v>
      </c>
      <c r="E503" s="66">
        <v>10520.1</v>
      </c>
      <c r="F503" s="67" t="s">
        <v>2198</v>
      </c>
      <c r="G503" s="68">
        <v>5.1000000000000004E-3</v>
      </c>
      <c r="H503" s="64"/>
    </row>
    <row r="504" spans="1:8" x14ac:dyDescent="0.25">
      <c r="A504" s="65">
        <v>43108</v>
      </c>
      <c r="B504" s="66">
        <v>10623.6</v>
      </c>
      <c r="C504" s="66">
        <v>10591.7</v>
      </c>
      <c r="D504" s="66">
        <v>10631.2</v>
      </c>
      <c r="E504" s="66">
        <v>10588.55</v>
      </c>
      <c r="F504" s="67" t="s">
        <v>2197</v>
      </c>
      <c r="G504" s="68">
        <v>6.1000000000000004E-3</v>
      </c>
      <c r="H504" s="64"/>
    </row>
    <row r="505" spans="1:8" x14ac:dyDescent="0.25">
      <c r="A505" s="65">
        <v>43109</v>
      </c>
      <c r="B505" s="66">
        <v>10637</v>
      </c>
      <c r="C505" s="66">
        <v>10645.1</v>
      </c>
      <c r="D505" s="66">
        <v>10659.15</v>
      </c>
      <c r="E505" s="66">
        <v>10603.6</v>
      </c>
      <c r="F505" s="67" t="s">
        <v>2196</v>
      </c>
      <c r="G505" s="68">
        <v>1.2999999999999999E-3</v>
      </c>
      <c r="H505" s="64"/>
    </row>
    <row r="506" spans="1:8" x14ac:dyDescent="0.25">
      <c r="A506" s="65">
        <v>43110</v>
      </c>
      <c r="B506" s="66">
        <v>10632.2</v>
      </c>
      <c r="C506" s="66">
        <v>10652.05</v>
      </c>
      <c r="D506" s="66">
        <v>10655.5</v>
      </c>
      <c r="E506" s="66">
        <v>10592.7</v>
      </c>
      <c r="F506" s="67" t="s">
        <v>2195</v>
      </c>
      <c r="G506" s="68">
        <v>-5.0000000000000001E-4</v>
      </c>
      <c r="H506" s="64"/>
    </row>
    <row r="507" spans="1:8" x14ac:dyDescent="0.25">
      <c r="A507" s="65">
        <v>43111</v>
      </c>
      <c r="B507" s="66">
        <v>10651.2</v>
      </c>
      <c r="C507" s="66">
        <v>10637.05</v>
      </c>
      <c r="D507" s="66">
        <v>10664.6</v>
      </c>
      <c r="E507" s="66">
        <v>10612.35</v>
      </c>
      <c r="F507" s="67" t="s">
        <v>2194</v>
      </c>
      <c r="G507" s="68">
        <v>1.8E-3</v>
      </c>
      <c r="H507" s="64"/>
    </row>
    <row r="508" spans="1:8" x14ac:dyDescent="0.25">
      <c r="A508" s="65">
        <v>43112</v>
      </c>
      <c r="B508" s="66">
        <v>10681.25</v>
      </c>
      <c r="C508" s="66">
        <v>10682.55</v>
      </c>
      <c r="D508" s="66">
        <v>10690.4</v>
      </c>
      <c r="E508" s="66">
        <v>10597.1</v>
      </c>
      <c r="F508" s="67" t="s">
        <v>2193</v>
      </c>
      <c r="G508" s="68">
        <v>2.8E-3</v>
      </c>
      <c r="H508" s="64"/>
    </row>
    <row r="509" spans="1:8" x14ac:dyDescent="0.25">
      <c r="A509" s="65">
        <v>43115</v>
      </c>
      <c r="B509" s="66">
        <v>10741.55</v>
      </c>
      <c r="C509" s="66">
        <v>10718.5</v>
      </c>
      <c r="D509" s="66">
        <v>10782.65</v>
      </c>
      <c r="E509" s="66">
        <v>10713.8</v>
      </c>
      <c r="F509" s="67" t="s">
        <v>2192</v>
      </c>
      <c r="G509" s="68">
        <v>5.5999999999999999E-3</v>
      </c>
      <c r="H509" s="64"/>
    </row>
    <row r="510" spans="1:8" x14ac:dyDescent="0.25">
      <c r="A510" s="65">
        <v>43116</v>
      </c>
      <c r="B510" s="66">
        <v>10700.45</v>
      </c>
      <c r="C510" s="66">
        <v>10761.5</v>
      </c>
      <c r="D510" s="66">
        <v>10762.35</v>
      </c>
      <c r="E510" s="66">
        <v>10687.85</v>
      </c>
      <c r="F510" s="67" t="s">
        <v>2191</v>
      </c>
      <c r="G510" s="68">
        <v>-3.8E-3</v>
      </c>
      <c r="H510" s="64"/>
    </row>
    <row r="511" spans="1:8" x14ac:dyDescent="0.25">
      <c r="A511" s="65">
        <v>43117</v>
      </c>
      <c r="B511" s="66">
        <v>10788.55</v>
      </c>
      <c r="C511" s="66">
        <v>10702.45</v>
      </c>
      <c r="D511" s="66">
        <v>10803</v>
      </c>
      <c r="E511" s="66">
        <v>10666.75</v>
      </c>
      <c r="F511" s="67" t="s">
        <v>2190</v>
      </c>
      <c r="G511" s="68">
        <v>8.2000000000000007E-3</v>
      </c>
      <c r="H511" s="64"/>
    </row>
    <row r="512" spans="1:8" x14ac:dyDescent="0.25">
      <c r="A512" s="65">
        <v>43118</v>
      </c>
      <c r="B512" s="66">
        <v>10817</v>
      </c>
      <c r="C512" s="66">
        <v>10873.4</v>
      </c>
      <c r="D512" s="66">
        <v>10887.5</v>
      </c>
      <c r="E512" s="66">
        <v>10782.4</v>
      </c>
      <c r="F512" s="67" t="s">
        <v>2189</v>
      </c>
      <c r="G512" s="68">
        <v>2.5999999999999999E-3</v>
      </c>
      <c r="H512" s="64"/>
    </row>
    <row r="513" spans="1:8" x14ac:dyDescent="0.25">
      <c r="A513" s="65">
        <v>43119</v>
      </c>
      <c r="B513" s="66">
        <v>10894.7</v>
      </c>
      <c r="C513" s="66">
        <v>10829.2</v>
      </c>
      <c r="D513" s="66">
        <v>10906.85</v>
      </c>
      <c r="E513" s="66">
        <v>10793.9</v>
      </c>
      <c r="F513" s="67" t="s">
        <v>2188</v>
      </c>
      <c r="G513" s="68">
        <v>7.1999999999999998E-3</v>
      </c>
      <c r="H513" s="64"/>
    </row>
    <row r="514" spans="1:8" x14ac:dyDescent="0.25">
      <c r="A514" s="65">
        <v>43122</v>
      </c>
      <c r="B514" s="66">
        <v>10966.2</v>
      </c>
      <c r="C514" s="66">
        <v>10883.2</v>
      </c>
      <c r="D514" s="66">
        <v>10975.1</v>
      </c>
      <c r="E514" s="66">
        <v>10881.4</v>
      </c>
      <c r="F514" s="67" t="s">
        <v>2187</v>
      </c>
      <c r="G514" s="68">
        <v>6.6E-3</v>
      </c>
      <c r="H514" s="64"/>
    </row>
    <row r="515" spans="1:8" x14ac:dyDescent="0.25">
      <c r="A515" s="65">
        <v>43123</v>
      </c>
      <c r="B515" s="66">
        <v>11083.7</v>
      </c>
      <c r="C515" s="66">
        <v>10997.4</v>
      </c>
      <c r="D515" s="66">
        <v>11092.9</v>
      </c>
      <c r="E515" s="66">
        <v>10994.55</v>
      </c>
      <c r="F515" s="67" t="s">
        <v>2186</v>
      </c>
      <c r="G515" s="68">
        <v>1.0699999999999999E-2</v>
      </c>
      <c r="H515" s="64"/>
    </row>
    <row r="516" spans="1:8" x14ac:dyDescent="0.25">
      <c r="A516" s="65">
        <v>43124</v>
      </c>
      <c r="B516" s="66">
        <v>11086</v>
      </c>
      <c r="C516" s="66">
        <v>11069.35</v>
      </c>
      <c r="D516" s="66">
        <v>11110.1</v>
      </c>
      <c r="E516" s="66">
        <v>11046.15</v>
      </c>
      <c r="F516" s="67" t="s">
        <v>2185</v>
      </c>
      <c r="G516" s="68">
        <v>2.0000000000000001E-4</v>
      </c>
      <c r="H516" s="64"/>
    </row>
    <row r="517" spans="1:8" x14ac:dyDescent="0.25">
      <c r="A517" s="65">
        <v>43125</v>
      </c>
      <c r="B517" s="66">
        <v>11069.65</v>
      </c>
      <c r="C517" s="66">
        <v>11095.6</v>
      </c>
      <c r="D517" s="66">
        <v>11095.6</v>
      </c>
      <c r="E517" s="66">
        <v>11009.2</v>
      </c>
      <c r="F517" s="67" t="s">
        <v>2184</v>
      </c>
      <c r="G517" s="68">
        <v>-1.5E-3</v>
      </c>
      <c r="H517" s="64"/>
    </row>
    <row r="518" spans="1:8" x14ac:dyDescent="0.25">
      <c r="A518" s="65">
        <v>43129</v>
      </c>
      <c r="B518" s="66">
        <v>11130.4</v>
      </c>
      <c r="C518" s="66">
        <v>11079.35</v>
      </c>
      <c r="D518" s="66">
        <v>11171.55</v>
      </c>
      <c r="E518" s="66">
        <v>11075.95</v>
      </c>
      <c r="F518" s="67" t="s">
        <v>2183</v>
      </c>
      <c r="G518" s="68">
        <v>5.4999999999999997E-3</v>
      </c>
      <c r="H518" s="64"/>
    </row>
    <row r="519" spans="1:8" x14ac:dyDescent="0.25">
      <c r="A519" s="65">
        <v>43130</v>
      </c>
      <c r="B519" s="66">
        <v>11049.65</v>
      </c>
      <c r="C519" s="66">
        <v>11120.85</v>
      </c>
      <c r="D519" s="66">
        <v>11121.1</v>
      </c>
      <c r="E519" s="66">
        <v>11033.9</v>
      </c>
      <c r="F519" s="67" t="s">
        <v>2182</v>
      </c>
      <c r="G519" s="68">
        <v>-7.3000000000000001E-3</v>
      </c>
      <c r="H519" s="64"/>
    </row>
    <row r="520" spans="1:8" x14ac:dyDescent="0.25">
      <c r="A520" s="65">
        <v>43131</v>
      </c>
      <c r="B520" s="66">
        <v>11027.7</v>
      </c>
      <c r="C520" s="66">
        <v>11018.8</v>
      </c>
      <c r="D520" s="66">
        <v>11058.5</v>
      </c>
      <c r="E520" s="66">
        <v>10979.3</v>
      </c>
      <c r="F520" s="67" t="s">
        <v>2181</v>
      </c>
      <c r="G520" s="68">
        <v>-2E-3</v>
      </c>
      <c r="H520" s="64"/>
    </row>
    <row r="521" spans="1:8" x14ac:dyDescent="0.25">
      <c r="A521" s="65">
        <v>43132</v>
      </c>
      <c r="B521" s="66">
        <v>11016.9</v>
      </c>
      <c r="C521" s="66">
        <v>11044.55</v>
      </c>
      <c r="D521" s="66">
        <v>11117.35</v>
      </c>
      <c r="E521" s="66">
        <v>10878.8</v>
      </c>
      <c r="F521" s="67" t="s">
        <v>2180</v>
      </c>
      <c r="G521" s="68">
        <v>-1E-3</v>
      </c>
      <c r="H521" s="64"/>
    </row>
    <row r="522" spans="1:8" x14ac:dyDescent="0.25">
      <c r="A522" s="65">
        <v>43133</v>
      </c>
      <c r="B522" s="66">
        <v>10760.6</v>
      </c>
      <c r="C522" s="66">
        <v>10938.2</v>
      </c>
      <c r="D522" s="66">
        <v>10954.95</v>
      </c>
      <c r="E522" s="66">
        <v>10736.1</v>
      </c>
      <c r="F522" s="67" t="s">
        <v>2179</v>
      </c>
      <c r="G522" s="68">
        <v>-2.3300000000000001E-2</v>
      </c>
      <c r="H522" s="64"/>
    </row>
    <row r="523" spans="1:8" x14ac:dyDescent="0.25">
      <c r="A523" s="65">
        <v>43136</v>
      </c>
      <c r="B523" s="66">
        <v>10666.55</v>
      </c>
      <c r="C523" s="66">
        <v>10604.3</v>
      </c>
      <c r="D523" s="66">
        <v>10702.75</v>
      </c>
      <c r="E523" s="66">
        <v>10586.8</v>
      </c>
      <c r="F523" s="67" t="s">
        <v>2178</v>
      </c>
      <c r="G523" s="68">
        <v>-8.6999999999999994E-3</v>
      </c>
      <c r="H523" s="64"/>
    </row>
    <row r="524" spans="1:8" x14ac:dyDescent="0.25">
      <c r="A524" s="65">
        <v>43137</v>
      </c>
      <c r="B524" s="66">
        <v>10498.25</v>
      </c>
      <c r="C524" s="66">
        <v>10295.15</v>
      </c>
      <c r="D524" s="66">
        <v>10594.15</v>
      </c>
      <c r="E524" s="66">
        <v>10276.299999999999</v>
      </c>
      <c r="F524" s="67" t="s">
        <v>2177</v>
      </c>
      <c r="G524" s="68">
        <v>-1.5800000000000002E-2</v>
      </c>
      <c r="H524" s="64"/>
    </row>
    <row r="525" spans="1:8" x14ac:dyDescent="0.25">
      <c r="A525" s="65">
        <v>43138</v>
      </c>
      <c r="B525" s="66">
        <v>10476.700000000001</v>
      </c>
      <c r="C525" s="66">
        <v>10607.2</v>
      </c>
      <c r="D525" s="66">
        <v>10614</v>
      </c>
      <c r="E525" s="66">
        <v>10446.4</v>
      </c>
      <c r="F525" s="67" t="s">
        <v>2176</v>
      </c>
      <c r="G525" s="68">
        <v>-2.0999999999999999E-3</v>
      </c>
      <c r="H525" s="64"/>
    </row>
    <row r="526" spans="1:8" x14ac:dyDescent="0.25">
      <c r="A526" s="65">
        <v>43139</v>
      </c>
      <c r="B526" s="66">
        <v>10576.85</v>
      </c>
      <c r="C526" s="66">
        <v>10518.5</v>
      </c>
      <c r="D526" s="66">
        <v>10637.8</v>
      </c>
      <c r="E526" s="66">
        <v>10479.549999999999</v>
      </c>
      <c r="F526" s="67" t="s">
        <v>2175</v>
      </c>
      <c r="G526" s="68">
        <v>9.5999999999999992E-3</v>
      </c>
      <c r="H526" s="64"/>
    </row>
    <row r="527" spans="1:8" x14ac:dyDescent="0.25">
      <c r="A527" s="65">
        <v>43140</v>
      </c>
      <c r="B527" s="66">
        <v>10454.950000000001</v>
      </c>
      <c r="C527" s="66">
        <v>10416.5</v>
      </c>
      <c r="D527" s="66">
        <v>10480.200000000001</v>
      </c>
      <c r="E527" s="66">
        <v>10398.200000000001</v>
      </c>
      <c r="F527" s="67" t="s">
        <v>2174</v>
      </c>
      <c r="G527" s="68">
        <v>-1.15E-2</v>
      </c>
      <c r="H527" s="64"/>
    </row>
    <row r="528" spans="1:8" x14ac:dyDescent="0.25">
      <c r="A528" s="65">
        <v>43143</v>
      </c>
      <c r="B528" s="66">
        <v>10539.75</v>
      </c>
      <c r="C528" s="66">
        <v>10518.2</v>
      </c>
      <c r="D528" s="66">
        <v>10555.5</v>
      </c>
      <c r="E528" s="66">
        <v>10485.4</v>
      </c>
      <c r="F528" s="67" t="s">
        <v>2173</v>
      </c>
      <c r="G528" s="68">
        <v>8.0999999999999996E-3</v>
      </c>
      <c r="H528" s="64"/>
    </row>
    <row r="529" spans="1:8" x14ac:dyDescent="0.25">
      <c r="A529" s="65">
        <v>43145</v>
      </c>
      <c r="B529" s="66">
        <v>10500.9</v>
      </c>
      <c r="C529" s="66">
        <v>10585.75</v>
      </c>
      <c r="D529" s="66">
        <v>10590.55</v>
      </c>
      <c r="E529" s="66">
        <v>10456.65</v>
      </c>
      <c r="F529" s="67" t="s">
        <v>2172</v>
      </c>
      <c r="G529" s="68">
        <v>-3.7000000000000002E-3</v>
      </c>
      <c r="H529" s="64"/>
    </row>
    <row r="530" spans="1:8" x14ac:dyDescent="0.25">
      <c r="A530" s="65">
        <v>43146</v>
      </c>
      <c r="B530" s="66">
        <v>10545.5</v>
      </c>
      <c r="C530" s="66">
        <v>10537.9</v>
      </c>
      <c r="D530" s="66">
        <v>10618.1</v>
      </c>
      <c r="E530" s="66">
        <v>10511.05</v>
      </c>
      <c r="F530" s="67" t="s">
        <v>2171</v>
      </c>
      <c r="G530" s="68">
        <v>4.1999999999999997E-3</v>
      </c>
      <c r="H530" s="64"/>
    </row>
    <row r="531" spans="1:8" x14ac:dyDescent="0.25">
      <c r="A531" s="65">
        <v>43147</v>
      </c>
      <c r="B531" s="66">
        <v>10452.299999999999</v>
      </c>
      <c r="C531" s="66">
        <v>10596.2</v>
      </c>
      <c r="D531" s="66">
        <v>10612.9</v>
      </c>
      <c r="E531" s="66">
        <v>10434.049999999999</v>
      </c>
      <c r="F531" s="67" t="s">
        <v>2170</v>
      </c>
      <c r="G531" s="68">
        <v>-8.8000000000000005E-3</v>
      </c>
      <c r="H531" s="64"/>
    </row>
    <row r="532" spans="1:8" x14ac:dyDescent="0.25">
      <c r="A532" s="65">
        <v>43150</v>
      </c>
      <c r="B532" s="66">
        <v>10378.4</v>
      </c>
      <c r="C532" s="66">
        <v>10488.9</v>
      </c>
      <c r="D532" s="66">
        <v>10489.35</v>
      </c>
      <c r="E532" s="66">
        <v>10302.75</v>
      </c>
      <c r="F532" s="67" t="s">
        <v>2169</v>
      </c>
      <c r="G532" s="68">
        <v>-7.1000000000000004E-3</v>
      </c>
      <c r="H532" s="64"/>
    </row>
    <row r="533" spans="1:8" x14ac:dyDescent="0.25">
      <c r="A533" s="65">
        <v>43151</v>
      </c>
      <c r="B533" s="66">
        <v>10360.4</v>
      </c>
      <c r="C533" s="66">
        <v>10391</v>
      </c>
      <c r="D533" s="66">
        <v>10429.35</v>
      </c>
      <c r="E533" s="66">
        <v>10347.65</v>
      </c>
      <c r="F533" s="67" t="s">
        <v>2168</v>
      </c>
      <c r="G533" s="68">
        <v>-1.6999999999999999E-3</v>
      </c>
      <c r="H533" s="64"/>
    </row>
    <row r="534" spans="1:8" x14ac:dyDescent="0.25">
      <c r="A534" s="65">
        <v>43152</v>
      </c>
      <c r="B534" s="66">
        <v>10397.450000000001</v>
      </c>
      <c r="C534" s="66">
        <v>10426</v>
      </c>
      <c r="D534" s="66">
        <v>10426.1</v>
      </c>
      <c r="E534" s="66">
        <v>10349.6</v>
      </c>
      <c r="F534" s="67" t="s">
        <v>2167</v>
      </c>
      <c r="G534" s="68">
        <v>3.5999999999999999E-3</v>
      </c>
      <c r="H534" s="64"/>
    </row>
    <row r="535" spans="1:8" x14ac:dyDescent="0.25">
      <c r="A535" s="65">
        <v>43153</v>
      </c>
      <c r="B535" s="66">
        <v>10382.700000000001</v>
      </c>
      <c r="C535" s="66">
        <v>10354.35</v>
      </c>
      <c r="D535" s="66">
        <v>10397.549999999999</v>
      </c>
      <c r="E535" s="66">
        <v>10340.65</v>
      </c>
      <c r="F535" s="67" t="s">
        <v>1368</v>
      </c>
      <c r="G535" s="68">
        <v>-1.4E-3</v>
      </c>
      <c r="H535" s="64"/>
    </row>
    <row r="536" spans="1:8" x14ac:dyDescent="0.25">
      <c r="A536" s="65">
        <v>43154</v>
      </c>
      <c r="B536" s="66">
        <v>10491.05</v>
      </c>
      <c r="C536" s="66">
        <v>10408.1</v>
      </c>
      <c r="D536" s="66">
        <v>10499.1</v>
      </c>
      <c r="E536" s="66">
        <v>10396.65</v>
      </c>
      <c r="F536" s="67" t="s">
        <v>2166</v>
      </c>
      <c r="G536" s="68">
        <v>1.04E-2</v>
      </c>
      <c r="H536" s="64"/>
    </row>
    <row r="537" spans="1:8" x14ac:dyDescent="0.25">
      <c r="A537" s="65">
        <v>43157</v>
      </c>
      <c r="B537" s="66">
        <v>10582.6</v>
      </c>
      <c r="C537" s="66">
        <v>10526.55</v>
      </c>
      <c r="D537" s="66">
        <v>10592.95</v>
      </c>
      <c r="E537" s="66">
        <v>10520.2</v>
      </c>
      <c r="F537" s="67" t="s">
        <v>2165</v>
      </c>
      <c r="G537" s="68">
        <v>8.6999999999999994E-3</v>
      </c>
      <c r="H537" s="64"/>
    </row>
    <row r="538" spans="1:8" x14ac:dyDescent="0.25">
      <c r="A538" s="65">
        <v>43158</v>
      </c>
      <c r="B538" s="66">
        <v>10554.3</v>
      </c>
      <c r="C538" s="66">
        <v>10615.2</v>
      </c>
      <c r="D538" s="66">
        <v>10631.65</v>
      </c>
      <c r="E538" s="66">
        <v>10537.25</v>
      </c>
      <c r="F538" s="67" t="s">
        <v>2164</v>
      </c>
      <c r="G538" s="68">
        <v>-2.7000000000000001E-3</v>
      </c>
      <c r="H538" s="64"/>
    </row>
    <row r="539" spans="1:8" x14ac:dyDescent="0.25">
      <c r="A539" s="65">
        <v>43159</v>
      </c>
      <c r="B539" s="66">
        <v>10492.85</v>
      </c>
      <c r="C539" s="66">
        <v>10488.95</v>
      </c>
      <c r="D539" s="66">
        <v>10535.5</v>
      </c>
      <c r="E539" s="66">
        <v>10461.549999999999</v>
      </c>
      <c r="F539" s="67" t="s">
        <v>2163</v>
      </c>
      <c r="G539" s="68">
        <v>-5.7999999999999996E-3</v>
      </c>
      <c r="H539" s="64"/>
    </row>
    <row r="540" spans="1:8" x14ac:dyDescent="0.25">
      <c r="A540" s="65">
        <v>43160</v>
      </c>
      <c r="B540" s="66">
        <v>10458.35</v>
      </c>
      <c r="C540" s="66">
        <v>10479.950000000001</v>
      </c>
      <c r="D540" s="66">
        <v>10525.5</v>
      </c>
      <c r="E540" s="66">
        <v>10447.15</v>
      </c>
      <c r="F540" s="67" t="s">
        <v>2162</v>
      </c>
      <c r="G540" s="68">
        <v>-3.3E-3</v>
      </c>
      <c r="H540" s="64"/>
    </row>
    <row r="541" spans="1:8" x14ac:dyDescent="0.25">
      <c r="A541" s="65">
        <v>43164</v>
      </c>
      <c r="B541" s="66">
        <v>10358.85</v>
      </c>
      <c r="C541" s="66">
        <v>10428.299999999999</v>
      </c>
      <c r="D541" s="66">
        <v>10428.700000000001</v>
      </c>
      <c r="E541" s="66">
        <v>10323.9</v>
      </c>
      <c r="F541" s="67" t="s">
        <v>2161</v>
      </c>
      <c r="G541" s="68">
        <v>-9.4999999999999998E-3</v>
      </c>
      <c r="H541" s="64"/>
    </row>
    <row r="542" spans="1:8" x14ac:dyDescent="0.25">
      <c r="A542" s="65">
        <v>43165</v>
      </c>
      <c r="B542" s="66">
        <v>10249.25</v>
      </c>
      <c r="C542" s="66">
        <v>10420.5</v>
      </c>
      <c r="D542" s="66">
        <v>10441.35</v>
      </c>
      <c r="E542" s="66">
        <v>10215.9</v>
      </c>
      <c r="F542" s="67" t="s">
        <v>2160</v>
      </c>
      <c r="G542" s="68">
        <v>-1.06E-2</v>
      </c>
      <c r="H542" s="64"/>
    </row>
    <row r="543" spans="1:8" x14ac:dyDescent="0.25">
      <c r="A543" s="65">
        <v>43166</v>
      </c>
      <c r="B543" s="66">
        <v>10154.200000000001</v>
      </c>
      <c r="C543" s="66">
        <v>10232.950000000001</v>
      </c>
      <c r="D543" s="66">
        <v>10243.35</v>
      </c>
      <c r="E543" s="66">
        <v>10141.549999999999</v>
      </c>
      <c r="F543" s="67" t="s">
        <v>2159</v>
      </c>
      <c r="G543" s="68">
        <v>-9.2999999999999992E-3</v>
      </c>
      <c r="H543" s="64"/>
    </row>
    <row r="544" spans="1:8" x14ac:dyDescent="0.25">
      <c r="A544" s="65">
        <v>43167</v>
      </c>
      <c r="B544" s="66">
        <v>10242.65</v>
      </c>
      <c r="C544" s="66">
        <v>10216.25</v>
      </c>
      <c r="D544" s="66">
        <v>10270.35</v>
      </c>
      <c r="E544" s="66">
        <v>10146.4</v>
      </c>
      <c r="F544" s="67" t="s">
        <v>2158</v>
      </c>
      <c r="G544" s="68">
        <v>8.6999999999999994E-3</v>
      </c>
      <c r="H544" s="64"/>
    </row>
    <row r="545" spans="1:8" x14ac:dyDescent="0.25">
      <c r="A545" s="65">
        <v>43168</v>
      </c>
      <c r="B545" s="66">
        <v>10226.85</v>
      </c>
      <c r="C545" s="66">
        <v>10271.299999999999</v>
      </c>
      <c r="D545" s="66">
        <v>10296.700000000001</v>
      </c>
      <c r="E545" s="66">
        <v>10211.9</v>
      </c>
      <c r="F545" s="67" t="s">
        <v>2157</v>
      </c>
      <c r="G545" s="68">
        <v>-1.5E-3</v>
      </c>
      <c r="H545" s="64"/>
    </row>
    <row r="546" spans="1:8" x14ac:dyDescent="0.25">
      <c r="A546" s="65">
        <v>43171</v>
      </c>
      <c r="B546" s="66">
        <v>10421.4</v>
      </c>
      <c r="C546" s="66">
        <v>10301.6</v>
      </c>
      <c r="D546" s="66">
        <v>10433.65</v>
      </c>
      <c r="E546" s="66">
        <v>10295.450000000001</v>
      </c>
      <c r="F546" s="67" t="s">
        <v>2156</v>
      </c>
      <c r="G546" s="68">
        <v>1.9E-2</v>
      </c>
      <c r="H546" s="64"/>
    </row>
    <row r="547" spans="1:8" x14ac:dyDescent="0.25">
      <c r="A547" s="65">
        <v>43172</v>
      </c>
      <c r="B547" s="66">
        <v>10426.85</v>
      </c>
      <c r="C547" s="66">
        <v>10389.5</v>
      </c>
      <c r="D547" s="66">
        <v>10478.6</v>
      </c>
      <c r="E547" s="66">
        <v>10377.85</v>
      </c>
      <c r="F547" s="67" t="s">
        <v>2155</v>
      </c>
      <c r="G547" s="68">
        <v>5.0000000000000001E-4</v>
      </c>
      <c r="H547" s="64"/>
    </row>
    <row r="548" spans="1:8" x14ac:dyDescent="0.25">
      <c r="A548" s="65">
        <v>43173</v>
      </c>
      <c r="B548" s="66">
        <v>10410.9</v>
      </c>
      <c r="C548" s="66">
        <v>10393.049999999999</v>
      </c>
      <c r="D548" s="66">
        <v>10420.35</v>
      </c>
      <c r="E548" s="66">
        <v>10336.299999999999</v>
      </c>
      <c r="F548" s="67" t="s">
        <v>2154</v>
      </c>
      <c r="G548" s="68">
        <v>-1.5E-3</v>
      </c>
      <c r="H548" s="64"/>
    </row>
    <row r="549" spans="1:8" x14ac:dyDescent="0.25">
      <c r="A549" s="65">
        <v>43174</v>
      </c>
      <c r="B549" s="66">
        <v>10360.15</v>
      </c>
      <c r="C549" s="66">
        <v>10405.450000000001</v>
      </c>
      <c r="D549" s="66">
        <v>10420</v>
      </c>
      <c r="E549" s="66">
        <v>10346.200000000001</v>
      </c>
      <c r="F549" s="67" t="s">
        <v>2153</v>
      </c>
      <c r="G549" s="68">
        <v>-4.8999999999999998E-3</v>
      </c>
      <c r="H549" s="64"/>
    </row>
    <row r="550" spans="1:8" x14ac:dyDescent="0.25">
      <c r="A550" s="65">
        <v>43175</v>
      </c>
      <c r="B550" s="66">
        <v>10195.15</v>
      </c>
      <c r="C550" s="66">
        <v>10345.15</v>
      </c>
      <c r="D550" s="66">
        <v>10346.299999999999</v>
      </c>
      <c r="E550" s="66">
        <v>10180.25</v>
      </c>
      <c r="F550" s="67" t="s">
        <v>2152</v>
      </c>
      <c r="G550" s="68">
        <v>-1.5900000000000001E-2</v>
      </c>
      <c r="H550" s="64"/>
    </row>
    <row r="551" spans="1:8" x14ac:dyDescent="0.25">
      <c r="A551" s="65">
        <v>43178</v>
      </c>
      <c r="B551" s="66">
        <v>10094.25</v>
      </c>
      <c r="C551" s="66">
        <v>10215.35</v>
      </c>
      <c r="D551" s="66">
        <v>10224.549999999999</v>
      </c>
      <c r="E551" s="66">
        <v>10075.299999999999</v>
      </c>
      <c r="F551" s="67" t="s">
        <v>2151</v>
      </c>
      <c r="G551" s="68">
        <v>-9.9000000000000008E-3</v>
      </c>
      <c r="H551" s="64"/>
    </row>
    <row r="552" spans="1:8" x14ac:dyDescent="0.25">
      <c r="A552" s="65">
        <v>43179</v>
      </c>
      <c r="B552" s="66">
        <v>10124.35</v>
      </c>
      <c r="C552" s="66">
        <v>10051.549999999999</v>
      </c>
      <c r="D552" s="66">
        <v>10155.65</v>
      </c>
      <c r="E552" s="66">
        <v>10049.1</v>
      </c>
      <c r="F552" s="67" t="s">
        <v>2150</v>
      </c>
      <c r="G552" s="68">
        <v>3.0000000000000001E-3</v>
      </c>
      <c r="H552" s="64"/>
    </row>
    <row r="553" spans="1:8" x14ac:dyDescent="0.25">
      <c r="A553" s="65">
        <v>43180</v>
      </c>
      <c r="B553" s="66">
        <v>10155.25</v>
      </c>
      <c r="C553" s="66">
        <v>10181.950000000001</v>
      </c>
      <c r="D553" s="66">
        <v>10227.299999999999</v>
      </c>
      <c r="E553" s="66">
        <v>10132.950000000001</v>
      </c>
      <c r="F553" s="67" t="s">
        <v>2149</v>
      </c>
      <c r="G553" s="68">
        <v>3.0999999999999999E-3</v>
      </c>
      <c r="H553" s="64"/>
    </row>
    <row r="554" spans="1:8" x14ac:dyDescent="0.25">
      <c r="A554" s="65">
        <v>43181</v>
      </c>
      <c r="B554" s="66">
        <v>10114.75</v>
      </c>
      <c r="C554" s="66">
        <v>10167.5</v>
      </c>
      <c r="D554" s="66">
        <v>10207.85</v>
      </c>
      <c r="E554" s="66">
        <v>10105.4</v>
      </c>
      <c r="F554" s="67" t="s">
        <v>2148</v>
      </c>
      <c r="G554" s="68">
        <v>-4.0000000000000001E-3</v>
      </c>
      <c r="H554" s="64"/>
    </row>
    <row r="555" spans="1:8" x14ac:dyDescent="0.25">
      <c r="A555" s="65">
        <v>43182</v>
      </c>
      <c r="B555" s="66">
        <v>9998.0499999999993</v>
      </c>
      <c r="C555" s="66">
        <v>9968.7999999999993</v>
      </c>
      <c r="D555" s="66">
        <v>10027.700000000001</v>
      </c>
      <c r="E555" s="66">
        <v>9951.9</v>
      </c>
      <c r="F555" s="67" t="s">
        <v>2147</v>
      </c>
      <c r="G555" s="68">
        <v>-1.15E-2</v>
      </c>
      <c r="H555" s="64"/>
    </row>
    <row r="556" spans="1:8" x14ac:dyDescent="0.25">
      <c r="A556" s="65">
        <v>43185</v>
      </c>
      <c r="B556" s="66">
        <v>10130.65</v>
      </c>
      <c r="C556" s="66">
        <v>9989.15</v>
      </c>
      <c r="D556" s="66">
        <v>10143.5</v>
      </c>
      <c r="E556" s="66">
        <v>9958.5499999999993</v>
      </c>
      <c r="F556" s="67" t="s">
        <v>2146</v>
      </c>
      <c r="G556" s="68">
        <v>1.3299999999999999E-2</v>
      </c>
      <c r="H556" s="64"/>
    </row>
    <row r="557" spans="1:8" x14ac:dyDescent="0.25">
      <c r="A557" s="65">
        <v>43186</v>
      </c>
      <c r="B557" s="66">
        <v>10184.15</v>
      </c>
      <c r="C557" s="66">
        <v>10188</v>
      </c>
      <c r="D557" s="66">
        <v>10207.9</v>
      </c>
      <c r="E557" s="66">
        <v>10139.65</v>
      </c>
      <c r="F557" s="67" t="s">
        <v>2145</v>
      </c>
      <c r="G557" s="68">
        <v>5.3E-3</v>
      </c>
      <c r="H557" s="64"/>
    </row>
    <row r="558" spans="1:8" x14ac:dyDescent="0.25">
      <c r="A558" s="65">
        <v>43187</v>
      </c>
      <c r="B558" s="66">
        <v>10113.700000000001</v>
      </c>
      <c r="C558" s="66">
        <v>10143.6</v>
      </c>
      <c r="D558" s="66">
        <v>10158.35</v>
      </c>
      <c r="E558" s="66">
        <v>10096.9</v>
      </c>
      <c r="F558" s="67" t="s">
        <v>2144</v>
      </c>
      <c r="G558" s="68">
        <v>-6.8999999999999999E-3</v>
      </c>
      <c r="H558" s="64"/>
    </row>
    <row r="559" spans="1:8" x14ac:dyDescent="0.25">
      <c r="A559" s="65">
        <v>43192</v>
      </c>
      <c r="B559" s="66">
        <v>10211.799999999999</v>
      </c>
      <c r="C559" s="66">
        <v>10151.65</v>
      </c>
      <c r="D559" s="66">
        <v>10220.1</v>
      </c>
      <c r="E559" s="66">
        <v>10127.75</v>
      </c>
      <c r="F559" s="67" t="s">
        <v>2143</v>
      </c>
      <c r="G559" s="68">
        <v>9.7000000000000003E-3</v>
      </c>
      <c r="H559" s="64"/>
    </row>
    <row r="560" spans="1:8" x14ac:dyDescent="0.25">
      <c r="A560" s="65">
        <v>43193</v>
      </c>
      <c r="B560" s="66">
        <v>10245</v>
      </c>
      <c r="C560" s="66">
        <v>10186.85</v>
      </c>
      <c r="D560" s="66">
        <v>10255.35</v>
      </c>
      <c r="E560" s="66">
        <v>10171.049999999999</v>
      </c>
      <c r="F560" s="67" t="s">
        <v>891</v>
      </c>
      <c r="G560" s="68">
        <v>3.3E-3</v>
      </c>
      <c r="H560" s="64"/>
    </row>
    <row r="561" spans="1:8" x14ac:dyDescent="0.25">
      <c r="A561" s="65">
        <v>43194</v>
      </c>
      <c r="B561" s="66">
        <v>10128.4</v>
      </c>
      <c r="C561" s="66">
        <v>10274.6</v>
      </c>
      <c r="D561" s="66">
        <v>10279.85</v>
      </c>
      <c r="E561" s="66">
        <v>10111.299999999999</v>
      </c>
      <c r="F561" s="67" t="s">
        <v>2142</v>
      </c>
      <c r="G561" s="68">
        <v>-1.14E-2</v>
      </c>
      <c r="H561" s="64"/>
    </row>
    <row r="562" spans="1:8" x14ac:dyDescent="0.25">
      <c r="A562" s="65">
        <v>43195</v>
      </c>
      <c r="B562" s="66">
        <v>10325.15</v>
      </c>
      <c r="C562" s="66">
        <v>10228.450000000001</v>
      </c>
      <c r="D562" s="66">
        <v>10331.799999999999</v>
      </c>
      <c r="E562" s="66">
        <v>10227.450000000001</v>
      </c>
      <c r="F562" s="67" t="s">
        <v>2141</v>
      </c>
      <c r="G562" s="68">
        <v>1.9400000000000001E-2</v>
      </c>
      <c r="H562" s="64"/>
    </row>
    <row r="563" spans="1:8" x14ac:dyDescent="0.25">
      <c r="A563" s="65">
        <v>43196</v>
      </c>
      <c r="B563" s="66">
        <v>10331.6</v>
      </c>
      <c r="C563" s="66">
        <v>10322.75</v>
      </c>
      <c r="D563" s="66">
        <v>10350.450000000001</v>
      </c>
      <c r="E563" s="66">
        <v>10290.85</v>
      </c>
      <c r="F563" s="67" t="s">
        <v>2140</v>
      </c>
      <c r="G563" s="68">
        <v>5.9999999999999995E-4</v>
      </c>
      <c r="H563" s="64"/>
    </row>
    <row r="564" spans="1:8" x14ac:dyDescent="0.25">
      <c r="A564" s="65">
        <v>43199</v>
      </c>
      <c r="B564" s="66">
        <v>10379.35</v>
      </c>
      <c r="C564" s="66">
        <v>10333.700000000001</v>
      </c>
      <c r="D564" s="66">
        <v>10397.700000000001</v>
      </c>
      <c r="E564" s="66">
        <v>10328.5</v>
      </c>
      <c r="F564" s="67" t="s">
        <v>2139</v>
      </c>
      <c r="G564" s="68">
        <v>4.5999999999999999E-3</v>
      </c>
      <c r="H564" s="64"/>
    </row>
    <row r="565" spans="1:8" x14ac:dyDescent="0.25">
      <c r="A565" s="65">
        <v>43200</v>
      </c>
      <c r="B565" s="66">
        <v>10402.25</v>
      </c>
      <c r="C565" s="66">
        <v>10412.9</v>
      </c>
      <c r="D565" s="66">
        <v>10424.85</v>
      </c>
      <c r="E565" s="66">
        <v>10381.5</v>
      </c>
      <c r="F565" s="67" t="s">
        <v>2138</v>
      </c>
      <c r="G565" s="68">
        <v>2.2000000000000001E-3</v>
      </c>
      <c r="H565" s="64"/>
    </row>
    <row r="566" spans="1:8" x14ac:dyDescent="0.25">
      <c r="A566" s="65">
        <v>43201</v>
      </c>
      <c r="B566" s="66">
        <v>10417.15</v>
      </c>
      <c r="C566" s="66">
        <v>10428.15</v>
      </c>
      <c r="D566" s="66">
        <v>10428.15</v>
      </c>
      <c r="E566" s="66">
        <v>10355.6</v>
      </c>
      <c r="F566" s="67" t="s">
        <v>2137</v>
      </c>
      <c r="G566" s="68">
        <v>1.4E-3</v>
      </c>
      <c r="H566" s="64"/>
    </row>
    <row r="567" spans="1:8" x14ac:dyDescent="0.25">
      <c r="A567" s="65">
        <v>43202</v>
      </c>
      <c r="B567" s="66">
        <v>10458.65</v>
      </c>
      <c r="C567" s="66">
        <v>10410.65</v>
      </c>
      <c r="D567" s="66">
        <v>10469.9</v>
      </c>
      <c r="E567" s="66">
        <v>10395.25</v>
      </c>
      <c r="F567" s="67" t="s">
        <v>2136</v>
      </c>
      <c r="G567" s="68">
        <v>4.0000000000000001E-3</v>
      </c>
      <c r="H567" s="64"/>
    </row>
    <row r="568" spans="1:8" x14ac:dyDescent="0.25">
      <c r="A568" s="65">
        <v>43203</v>
      </c>
      <c r="B568" s="66">
        <v>10480.6</v>
      </c>
      <c r="C568" s="66">
        <v>10495.3</v>
      </c>
      <c r="D568" s="66">
        <v>10519.9</v>
      </c>
      <c r="E568" s="66">
        <v>10451.450000000001</v>
      </c>
      <c r="F568" s="67" t="s">
        <v>2135</v>
      </c>
      <c r="G568" s="68">
        <v>2.0999999999999999E-3</v>
      </c>
      <c r="H568" s="64"/>
    </row>
    <row r="569" spans="1:8" x14ac:dyDescent="0.25">
      <c r="A569" s="65">
        <v>43206</v>
      </c>
      <c r="B569" s="66">
        <v>10528.35</v>
      </c>
      <c r="C569" s="66">
        <v>10398.299999999999</v>
      </c>
      <c r="D569" s="66">
        <v>10540.15</v>
      </c>
      <c r="E569" s="66">
        <v>10396.35</v>
      </c>
      <c r="F569" s="67" t="s">
        <v>2134</v>
      </c>
      <c r="G569" s="68">
        <v>4.5999999999999999E-3</v>
      </c>
      <c r="H569" s="64"/>
    </row>
    <row r="570" spans="1:8" x14ac:dyDescent="0.25">
      <c r="A570" s="65">
        <v>43207</v>
      </c>
      <c r="B570" s="66">
        <v>10548.7</v>
      </c>
      <c r="C570" s="66">
        <v>10557.3</v>
      </c>
      <c r="D570" s="66">
        <v>10560.45</v>
      </c>
      <c r="E570" s="66">
        <v>10495.65</v>
      </c>
      <c r="F570" s="67" t="s">
        <v>754</v>
      </c>
      <c r="G570" s="68">
        <v>1.9E-3</v>
      </c>
      <c r="H570" s="64"/>
    </row>
    <row r="571" spans="1:8" x14ac:dyDescent="0.25">
      <c r="A571" s="65">
        <v>43208</v>
      </c>
      <c r="B571" s="66">
        <v>10526.2</v>
      </c>
      <c r="C571" s="66">
        <v>10578.9</v>
      </c>
      <c r="D571" s="66">
        <v>10594.2</v>
      </c>
      <c r="E571" s="66">
        <v>10509.7</v>
      </c>
      <c r="F571" s="67" t="s">
        <v>2133</v>
      </c>
      <c r="G571" s="68">
        <v>-2.0999999999999999E-3</v>
      </c>
      <c r="H571" s="64"/>
    </row>
    <row r="572" spans="1:8" x14ac:dyDescent="0.25">
      <c r="A572" s="65">
        <v>43209</v>
      </c>
      <c r="B572" s="66">
        <v>10565.3</v>
      </c>
      <c r="C572" s="66">
        <v>10563.65</v>
      </c>
      <c r="D572" s="66">
        <v>10572.2</v>
      </c>
      <c r="E572" s="66">
        <v>10546.2</v>
      </c>
      <c r="F572" s="67" t="s">
        <v>2132</v>
      </c>
      <c r="G572" s="68">
        <v>3.7000000000000002E-3</v>
      </c>
      <c r="H572" s="64"/>
    </row>
    <row r="573" spans="1:8" x14ac:dyDescent="0.25">
      <c r="A573" s="65">
        <v>43210</v>
      </c>
      <c r="B573" s="66">
        <v>10564.05</v>
      </c>
      <c r="C573" s="66">
        <v>10560.35</v>
      </c>
      <c r="D573" s="66">
        <v>10582.35</v>
      </c>
      <c r="E573" s="66">
        <v>10527.45</v>
      </c>
      <c r="F573" s="67" t="s">
        <v>2131</v>
      </c>
      <c r="G573" s="68">
        <v>-1E-4</v>
      </c>
      <c r="H573" s="64"/>
    </row>
    <row r="574" spans="1:8" x14ac:dyDescent="0.25">
      <c r="A574" s="65">
        <v>43213</v>
      </c>
      <c r="B574" s="66">
        <v>10584.7</v>
      </c>
      <c r="C574" s="66">
        <v>10592.8</v>
      </c>
      <c r="D574" s="66">
        <v>10638.35</v>
      </c>
      <c r="E574" s="66">
        <v>10514.95</v>
      </c>
      <c r="F574" s="67" t="s">
        <v>2130</v>
      </c>
      <c r="G574" s="68">
        <v>2E-3</v>
      </c>
      <c r="H574" s="64"/>
    </row>
    <row r="575" spans="1:8" x14ac:dyDescent="0.25">
      <c r="A575" s="65">
        <v>43214</v>
      </c>
      <c r="B575" s="66">
        <v>10614.35</v>
      </c>
      <c r="C575" s="66">
        <v>10578.1</v>
      </c>
      <c r="D575" s="66">
        <v>10636.8</v>
      </c>
      <c r="E575" s="66">
        <v>10569</v>
      </c>
      <c r="F575" s="67" t="s">
        <v>2129</v>
      </c>
      <c r="G575" s="68">
        <v>2.8E-3</v>
      </c>
      <c r="H575" s="64"/>
    </row>
    <row r="576" spans="1:8" x14ac:dyDescent="0.25">
      <c r="A576" s="65">
        <v>43215</v>
      </c>
      <c r="B576" s="66">
        <v>10570.55</v>
      </c>
      <c r="C576" s="66">
        <v>10612.4</v>
      </c>
      <c r="D576" s="66">
        <v>10612.6</v>
      </c>
      <c r="E576" s="66">
        <v>10536.45</v>
      </c>
      <c r="F576" s="67" t="s">
        <v>2128</v>
      </c>
      <c r="G576" s="68">
        <v>-4.1000000000000003E-3</v>
      </c>
      <c r="H576" s="64"/>
    </row>
    <row r="577" spans="1:8" x14ac:dyDescent="0.25">
      <c r="A577" s="65">
        <v>43216</v>
      </c>
      <c r="B577" s="66">
        <v>10617.8</v>
      </c>
      <c r="C577" s="66">
        <v>10586.5</v>
      </c>
      <c r="D577" s="66">
        <v>10628.4</v>
      </c>
      <c r="E577" s="66">
        <v>10559.65</v>
      </c>
      <c r="F577" s="67" t="s">
        <v>752</v>
      </c>
      <c r="G577" s="68">
        <v>4.4999999999999997E-3</v>
      </c>
      <c r="H577" s="64"/>
    </row>
    <row r="578" spans="1:8" x14ac:dyDescent="0.25">
      <c r="A578" s="65">
        <v>43217</v>
      </c>
      <c r="B578" s="66">
        <v>10692.3</v>
      </c>
      <c r="C578" s="66">
        <v>10651.65</v>
      </c>
      <c r="D578" s="66">
        <v>10719.8</v>
      </c>
      <c r="E578" s="66">
        <v>10647.55</v>
      </c>
      <c r="F578" s="67" t="s">
        <v>2127</v>
      </c>
      <c r="G578" s="68">
        <v>7.0000000000000001E-3</v>
      </c>
      <c r="H578" s="64"/>
    </row>
    <row r="579" spans="1:8" x14ac:dyDescent="0.25">
      <c r="A579" s="65">
        <v>43220</v>
      </c>
      <c r="B579" s="66">
        <v>10739.35</v>
      </c>
      <c r="C579" s="66">
        <v>10705.75</v>
      </c>
      <c r="D579" s="66">
        <v>10759</v>
      </c>
      <c r="E579" s="66">
        <v>10704.6</v>
      </c>
      <c r="F579" s="67" t="s">
        <v>2126</v>
      </c>
      <c r="G579" s="68">
        <v>4.4000000000000003E-3</v>
      </c>
      <c r="H579" s="64"/>
    </row>
    <row r="580" spans="1:8" x14ac:dyDescent="0.25">
      <c r="A580" s="65">
        <v>43222</v>
      </c>
      <c r="B580" s="66">
        <v>10718.05</v>
      </c>
      <c r="C580" s="66">
        <v>10783.85</v>
      </c>
      <c r="D580" s="66">
        <v>10784.65</v>
      </c>
      <c r="E580" s="66">
        <v>10689.8</v>
      </c>
      <c r="F580" s="67" t="s">
        <v>2125</v>
      </c>
      <c r="G580" s="68">
        <v>-2E-3</v>
      </c>
      <c r="H580" s="64"/>
    </row>
    <row r="581" spans="1:8" x14ac:dyDescent="0.25">
      <c r="A581" s="65">
        <v>43223</v>
      </c>
      <c r="B581" s="66">
        <v>10679.65</v>
      </c>
      <c r="C581" s="66">
        <v>10720.15</v>
      </c>
      <c r="D581" s="66">
        <v>10720.6</v>
      </c>
      <c r="E581" s="66">
        <v>10647.45</v>
      </c>
      <c r="F581" s="67" t="s">
        <v>2124</v>
      </c>
      <c r="G581" s="68">
        <v>-3.5999999999999999E-3</v>
      </c>
      <c r="H581" s="64"/>
    </row>
    <row r="582" spans="1:8" x14ac:dyDescent="0.25">
      <c r="A582" s="65">
        <v>43224</v>
      </c>
      <c r="B582" s="66">
        <v>10618.25</v>
      </c>
      <c r="C582" s="66">
        <v>10700.45</v>
      </c>
      <c r="D582" s="66">
        <v>10700.45</v>
      </c>
      <c r="E582" s="66">
        <v>10601.6</v>
      </c>
      <c r="F582" s="67" t="s">
        <v>2123</v>
      </c>
      <c r="G582" s="68">
        <v>-5.7000000000000002E-3</v>
      </c>
      <c r="H582" s="64"/>
    </row>
    <row r="583" spans="1:8" x14ac:dyDescent="0.25">
      <c r="A583" s="65">
        <v>43227</v>
      </c>
      <c r="B583" s="66">
        <v>10715.5</v>
      </c>
      <c r="C583" s="66">
        <v>10653.15</v>
      </c>
      <c r="D583" s="66">
        <v>10725.65</v>
      </c>
      <c r="E583" s="66">
        <v>10635.65</v>
      </c>
      <c r="F583" s="67" t="s">
        <v>2122</v>
      </c>
      <c r="G583" s="68">
        <v>9.1999999999999998E-3</v>
      </c>
      <c r="H583" s="64"/>
    </row>
    <row r="584" spans="1:8" x14ac:dyDescent="0.25">
      <c r="A584" s="65">
        <v>43228</v>
      </c>
      <c r="B584" s="66">
        <v>10717.8</v>
      </c>
      <c r="C584" s="66">
        <v>10757.9</v>
      </c>
      <c r="D584" s="66">
        <v>10758.55</v>
      </c>
      <c r="E584" s="66">
        <v>10689.4</v>
      </c>
      <c r="F584" s="67" t="s">
        <v>2121</v>
      </c>
      <c r="G584" s="68">
        <v>2.0000000000000001E-4</v>
      </c>
      <c r="H584" s="64"/>
    </row>
    <row r="585" spans="1:8" x14ac:dyDescent="0.25">
      <c r="A585" s="65">
        <v>43229</v>
      </c>
      <c r="B585" s="66">
        <v>10741.7</v>
      </c>
      <c r="C585" s="66">
        <v>10693.35</v>
      </c>
      <c r="D585" s="66">
        <v>10766.25</v>
      </c>
      <c r="E585" s="66">
        <v>10689.85</v>
      </c>
      <c r="F585" s="67" t="s">
        <v>2120</v>
      </c>
      <c r="G585" s="68">
        <v>2.2000000000000001E-3</v>
      </c>
      <c r="H585" s="64"/>
    </row>
    <row r="586" spans="1:8" x14ac:dyDescent="0.25">
      <c r="A586" s="65">
        <v>43230</v>
      </c>
      <c r="B586" s="66">
        <v>10716.55</v>
      </c>
      <c r="C586" s="66">
        <v>10779.65</v>
      </c>
      <c r="D586" s="66">
        <v>10785.55</v>
      </c>
      <c r="E586" s="66">
        <v>10705</v>
      </c>
      <c r="F586" s="67" t="s">
        <v>2119</v>
      </c>
      <c r="G586" s="68">
        <v>-2.3E-3</v>
      </c>
      <c r="H586" s="64"/>
    </row>
    <row r="587" spans="1:8" x14ac:dyDescent="0.25">
      <c r="A587" s="65">
        <v>43231</v>
      </c>
      <c r="B587" s="66">
        <v>10806.5</v>
      </c>
      <c r="C587" s="66">
        <v>10741.95</v>
      </c>
      <c r="D587" s="66">
        <v>10812.05</v>
      </c>
      <c r="E587" s="66">
        <v>10724.45</v>
      </c>
      <c r="F587" s="67" t="s">
        <v>2118</v>
      </c>
      <c r="G587" s="68">
        <v>8.3999999999999995E-3</v>
      </c>
      <c r="H587" s="64"/>
    </row>
    <row r="588" spans="1:8" x14ac:dyDescent="0.25">
      <c r="A588" s="65">
        <v>43234</v>
      </c>
      <c r="B588" s="66">
        <v>10806.6</v>
      </c>
      <c r="C588" s="66">
        <v>10815.15</v>
      </c>
      <c r="D588" s="66">
        <v>10834.85</v>
      </c>
      <c r="E588" s="66">
        <v>10774.75</v>
      </c>
      <c r="F588" s="67" t="s">
        <v>2117</v>
      </c>
      <c r="G588" s="68">
        <v>0</v>
      </c>
      <c r="H588" s="64"/>
    </row>
    <row r="589" spans="1:8" x14ac:dyDescent="0.25">
      <c r="A589" s="65">
        <v>43235</v>
      </c>
      <c r="B589" s="66">
        <v>10801.85</v>
      </c>
      <c r="C589" s="66">
        <v>10812.6</v>
      </c>
      <c r="D589" s="66">
        <v>10929.2</v>
      </c>
      <c r="E589" s="66">
        <v>10781.4</v>
      </c>
      <c r="F589" s="67" t="s">
        <v>2116</v>
      </c>
      <c r="G589" s="68">
        <v>-4.0000000000000002E-4</v>
      </c>
      <c r="H589" s="64"/>
    </row>
    <row r="590" spans="1:8" x14ac:dyDescent="0.25">
      <c r="A590" s="65">
        <v>43236</v>
      </c>
      <c r="B590" s="66">
        <v>10741.1</v>
      </c>
      <c r="C590" s="66">
        <v>10751.95</v>
      </c>
      <c r="D590" s="66">
        <v>10790.45</v>
      </c>
      <c r="E590" s="66">
        <v>10699.7</v>
      </c>
      <c r="F590" s="67" t="s">
        <v>996</v>
      </c>
      <c r="G590" s="68">
        <v>-5.5999999999999999E-3</v>
      </c>
      <c r="H590" s="64"/>
    </row>
    <row r="591" spans="1:8" x14ac:dyDescent="0.25">
      <c r="A591" s="65">
        <v>43237</v>
      </c>
      <c r="B591" s="66">
        <v>10682.7</v>
      </c>
      <c r="C591" s="66">
        <v>10775.6</v>
      </c>
      <c r="D591" s="66">
        <v>10777.25</v>
      </c>
      <c r="E591" s="66">
        <v>10664.5</v>
      </c>
      <c r="F591" s="67" t="s">
        <v>2115</v>
      </c>
      <c r="G591" s="68">
        <v>-5.4000000000000003E-3</v>
      </c>
      <c r="H591" s="64"/>
    </row>
    <row r="592" spans="1:8" x14ac:dyDescent="0.25">
      <c r="A592" s="65">
        <v>43238</v>
      </c>
      <c r="B592" s="66">
        <v>10596.4</v>
      </c>
      <c r="C592" s="66">
        <v>10671.85</v>
      </c>
      <c r="D592" s="66">
        <v>10674.95</v>
      </c>
      <c r="E592" s="66">
        <v>10589.1</v>
      </c>
      <c r="F592" s="67" t="s">
        <v>2114</v>
      </c>
      <c r="G592" s="68">
        <v>-8.0999999999999996E-3</v>
      </c>
      <c r="H592" s="64"/>
    </row>
    <row r="593" spans="1:8" x14ac:dyDescent="0.25">
      <c r="A593" s="65">
        <v>43241</v>
      </c>
      <c r="B593" s="66">
        <v>10516.7</v>
      </c>
      <c r="C593" s="66">
        <v>10616.7</v>
      </c>
      <c r="D593" s="66">
        <v>10621.7</v>
      </c>
      <c r="E593" s="66">
        <v>10505.8</v>
      </c>
      <c r="F593" s="67" t="s">
        <v>2113</v>
      </c>
      <c r="G593" s="68">
        <v>-7.4999999999999997E-3</v>
      </c>
      <c r="H593" s="64"/>
    </row>
    <row r="594" spans="1:8" x14ac:dyDescent="0.25">
      <c r="A594" s="65">
        <v>43242</v>
      </c>
      <c r="B594" s="66">
        <v>10536.7</v>
      </c>
      <c r="C594" s="66">
        <v>10518.45</v>
      </c>
      <c r="D594" s="66">
        <v>10558.6</v>
      </c>
      <c r="E594" s="66">
        <v>10490.55</v>
      </c>
      <c r="F594" s="67" t="s">
        <v>2112</v>
      </c>
      <c r="G594" s="68">
        <v>1.9E-3</v>
      </c>
      <c r="H594" s="64"/>
    </row>
    <row r="595" spans="1:8" x14ac:dyDescent="0.25">
      <c r="A595" s="65">
        <v>43243</v>
      </c>
      <c r="B595" s="66">
        <v>10430.35</v>
      </c>
      <c r="C595" s="66">
        <v>10521.1</v>
      </c>
      <c r="D595" s="66">
        <v>10533.55</v>
      </c>
      <c r="E595" s="66">
        <v>10417.799999999999</v>
      </c>
      <c r="F595" s="67" t="s">
        <v>2111</v>
      </c>
      <c r="G595" s="68">
        <v>-1.01E-2</v>
      </c>
      <c r="H595" s="64"/>
    </row>
    <row r="596" spans="1:8" x14ac:dyDescent="0.25">
      <c r="A596" s="65">
        <v>43244</v>
      </c>
      <c r="B596" s="66">
        <v>10513.85</v>
      </c>
      <c r="C596" s="66">
        <v>10464.85</v>
      </c>
      <c r="D596" s="66">
        <v>10535.15</v>
      </c>
      <c r="E596" s="66">
        <v>10419.799999999999</v>
      </c>
      <c r="F596" s="67" t="s">
        <v>2110</v>
      </c>
      <c r="G596" s="68">
        <v>8.0000000000000002E-3</v>
      </c>
      <c r="H596" s="64"/>
    </row>
    <row r="597" spans="1:8" x14ac:dyDescent="0.25">
      <c r="A597" s="65">
        <v>43245</v>
      </c>
      <c r="B597" s="66">
        <v>10605.15</v>
      </c>
      <c r="C597" s="66">
        <v>10533.05</v>
      </c>
      <c r="D597" s="66">
        <v>10628.05</v>
      </c>
      <c r="E597" s="66">
        <v>10524</v>
      </c>
      <c r="F597" s="67" t="s">
        <v>2109</v>
      </c>
      <c r="G597" s="68">
        <v>8.6999999999999994E-3</v>
      </c>
      <c r="H597" s="64"/>
    </row>
    <row r="598" spans="1:8" x14ac:dyDescent="0.25">
      <c r="A598" s="65">
        <v>43248</v>
      </c>
      <c r="B598" s="66">
        <v>10688.65</v>
      </c>
      <c r="C598" s="66">
        <v>10648.35</v>
      </c>
      <c r="D598" s="66">
        <v>10709.8</v>
      </c>
      <c r="E598" s="66">
        <v>10640.55</v>
      </c>
      <c r="F598" s="67" t="s">
        <v>2108</v>
      </c>
      <c r="G598" s="68">
        <v>7.9000000000000008E-3</v>
      </c>
      <c r="H598" s="64"/>
    </row>
    <row r="599" spans="1:8" x14ac:dyDescent="0.25">
      <c r="A599" s="65">
        <v>43249</v>
      </c>
      <c r="B599" s="66">
        <v>10633.3</v>
      </c>
      <c r="C599" s="66">
        <v>10689.4</v>
      </c>
      <c r="D599" s="66">
        <v>10717.25</v>
      </c>
      <c r="E599" s="66">
        <v>10616.1</v>
      </c>
      <c r="F599" s="67" t="s">
        <v>2107</v>
      </c>
      <c r="G599" s="68">
        <v>-5.1999999999999998E-3</v>
      </c>
      <c r="H599" s="64"/>
    </row>
    <row r="600" spans="1:8" x14ac:dyDescent="0.25">
      <c r="A600" s="65">
        <v>43250</v>
      </c>
      <c r="B600" s="66">
        <v>10614.35</v>
      </c>
      <c r="C600" s="66">
        <v>10579</v>
      </c>
      <c r="D600" s="66">
        <v>10648.7</v>
      </c>
      <c r="E600" s="66">
        <v>10558.45</v>
      </c>
      <c r="F600" s="67" t="s">
        <v>2106</v>
      </c>
      <c r="G600" s="68">
        <v>-1.8E-3</v>
      </c>
      <c r="H600" s="64"/>
    </row>
    <row r="601" spans="1:8" x14ac:dyDescent="0.25">
      <c r="A601" s="65">
        <v>43251</v>
      </c>
      <c r="B601" s="66">
        <v>10736.15</v>
      </c>
      <c r="C601" s="66">
        <v>10670.1</v>
      </c>
      <c r="D601" s="66">
        <v>10763.8</v>
      </c>
      <c r="E601" s="66">
        <v>10620.4</v>
      </c>
      <c r="F601" s="67" t="s">
        <v>2105</v>
      </c>
      <c r="G601" s="68">
        <v>1.15E-2</v>
      </c>
      <c r="H601" s="64"/>
    </row>
    <row r="602" spans="1:8" x14ac:dyDescent="0.25">
      <c r="A602" s="65">
        <v>43252</v>
      </c>
      <c r="B602" s="66">
        <v>10696.2</v>
      </c>
      <c r="C602" s="66">
        <v>10738.45</v>
      </c>
      <c r="D602" s="66">
        <v>10764.75</v>
      </c>
      <c r="E602" s="66">
        <v>10681.5</v>
      </c>
      <c r="F602" s="67" t="s">
        <v>2104</v>
      </c>
      <c r="G602" s="68">
        <v>-3.7000000000000002E-3</v>
      </c>
      <c r="H602" s="64"/>
    </row>
    <row r="603" spans="1:8" x14ac:dyDescent="0.25">
      <c r="A603" s="65">
        <v>43255</v>
      </c>
      <c r="B603" s="66">
        <v>10628.5</v>
      </c>
      <c r="C603" s="66">
        <v>10765.95</v>
      </c>
      <c r="D603" s="66">
        <v>10770.3</v>
      </c>
      <c r="E603" s="66">
        <v>10618.35</v>
      </c>
      <c r="F603" s="67" t="s">
        <v>2103</v>
      </c>
      <c r="G603" s="68">
        <v>-6.3E-3</v>
      </c>
      <c r="H603" s="64"/>
    </row>
    <row r="604" spans="1:8" x14ac:dyDescent="0.25">
      <c r="A604" s="65">
        <v>43256</v>
      </c>
      <c r="B604" s="66">
        <v>10593.15</v>
      </c>
      <c r="C604" s="66">
        <v>10630.7</v>
      </c>
      <c r="D604" s="66">
        <v>10633.15</v>
      </c>
      <c r="E604" s="66">
        <v>10550.9</v>
      </c>
      <c r="F604" s="67" t="s">
        <v>2102</v>
      </c>
      <c r="G604" s="68">
        <v>-3.3E-3</v>
      </c>
      <c r="H604" s="64"/>
    </row>
    <row r="605" spans="1:8" x14ac:dyDescent="0.25">
      <c r="A605" s="65">
        <v>43257</v>
      </c>
      <c r="B605" s="66">
        <v>10684.65</v>
      </c>
      <c r="C605" s="66">
        <v>10603.45</v>
      </c>
      <c r="D605" s="66">
        <v>10698.35</v>
      </c>
      <c r="E605" s="66">
        <v>10587.5</v>
      </c>
      <c r="F605" s="67" t="s">
        <v>2101</v>
      </c>
      <c r="G605" s="68">
        <v>8.6E-3</v>
      </c>
      <c r="H605" s="64"/>
    </row>
    <row r="606" spans="1:8" x14ac:dyDescent="0.25">
      <c r="A606" s="65">
        <v>43258</v>
      </c>
      <c r="B606" s="66">
        <v>10768.35</v>
      </c>
      <c r="C606" s="66">
        <v>10722.6</v>
      </c>
      <c r="D606" s="66">
        <v>10818</v>
      </c>
      <c r="E606" s="66">
        <v>10722.6</v>
      </c>
      <c r="F606" s="67" t="s">
        <v>2100</v>
      </c>
      <c r="G606" s="68">
        <v>7.7999999999999996E-3</v>
      </c>
      <c r="H606" s="64"/>
    </row>
    <row r="607" spans="1:8" x14ac:dyDescent="0.25">
      <c r="A607" s="65">
        <v>43259</v>
      </c>
      <c r="B607" s="66">
        <v>10767.65</v>
      </c>
      <c r="C607" s="66">
        <v>10736.4</v>
      </c>
      <c r="D607" s="66">
        <v>10779.45</v>
      </c>
      <c r="E607" s="66">
        <v>10709.05</v>
      </c>
      <c r="F607" s="67" t="s">
        <v>2099</v>
      </c>
      <c r="G607" s="68">
        <v>-1E-4</v>
      </c>
      <c r="H607" s="64"/>
    </row>
    <row r="608" spans="1:8" x14ac:dyDescent="0.25">
      <c r="A608" s="65">
        <v>43262</v>
      </c>
      <c r="B608" s="66">
        <v>10786.95</v>
      </c>
      <c r="C608" s="66">
        <v>10781.85</v>
      </c>
      <c r="D608" s="66">
        <v>10850.55</v>
      </c>
      <c r="E608" s="66">
        <v>10777.05</v>
      </c>
      <c r="F608" s="67" t="s">
        <v>2098</v>
      </c>
      <c r="G608" s="68">
        <v>1.8E-3</v>
      </c>
      <c r="H608" s="64"/>
    </row>
    <row r="609" spans="1:8" x14ac:dyDescent="0.25">
      <c r="A609" s="65">
        <v>43263</v>
      </c>
      <c r="B609" s="66">
        <v>10842.85</v>
      </c>
      <c r="C609" s="66">
        <v>10816.15</v>
      </c>
      <c r="D609" s="66">
        <v>10856.55</v>
      </c>
      <c r="E609" s="66">
        <v>10789.4</v>
      </c>
      <c r="F609" s="67" t="s">
        <v>2097</v>
      </c>
      <c r="G609" s="68">
        <v>5.1999999999999998E-3</v>
      </c>
      <c r="H609" s="64"/>
    </row>
    <row r="610" spans="1:8" x14ac:dyDescent="0.25">
      <c r="A610" s="65">
        <v>43264</v>
      </c>
      <c r="B610" s="66">
        <v>10856.7</v>
      </c>
      <c r="C610" s="66">
        <v>10887.5</v>
      </c>
      <c r="D610" s="66">
        <v>10893.25</v>
      </c>
      <c r="E610" s="66">
        <v>10842.65</v>
      </c>
      <c r="F610" s="67" t="s">
        <v>2096</v>
      </c>
      <c r="G610" s="68">
        <v>1.2999999999999999E-3</v>
      </c>
      <c r="H610" s="64"/>
    </row>
    <row r="611" spans="1:8" x14ac:dyDescent="0.25">
      <c r="A611" s="65">
        <v>43265</v>
      </c>
      <c r="B611" s="66">
        <v>10808.05</v>
      </c>
      <c r="C611" s="66">
        <v>10832.9</v>
      </c>
      <c r="D611" s="66">
        <v>10833.7</v>
      </c>
      <c r="E611" s="66">
        <v>10773.55</v>
      </c>
      <c r="F611" s="67" t="s">
        <v>2095</v>
      </c>
      <c r="G611" s="68">
        <v>-4.4999999999999997E-3</v>
      </c>
      <c r="H611" s="64"/>
    </row>
    <row r="612" spans="1:8" x14ac:dyDescent="0.25">
      <c r="A612" s="65">
        <v>43266</v>
      </c>
      <c r="B612" s="66">
        <v>10817.7</v>
      </c>
      <c r="C612" s="66">
        <v>10808.65</v>
      </c>
      <c r="D612" s="66">
        <v>10834</v>
      </c>
      <c r="E612" s="66">
        <v>10755.4</v>
      </c>
      <c r="F612" s="67" t="s">
        <v>1036</v>
      </c>
      <c r="G612" s="68">
        <v>8.9999999999999998E-4</v>
      </c>
      <c r="H612" s="64"/>
    </row>
    <row r="613" spans="1:8" x14ac:dyDescent="0.25">
      <c r="A613" s="65">
        <v>43269</v>
      </c>
      <c r="B613" s="66">
        <v>10799.85</v>
      </c>
      <c r="C613" s="66">
        <v>10830.2</v>
      </c>
      <c r="D613" s="66">
        <v>10830.2</v>
      </c>
      <c r="E613" s="66">
        <v>10787.35</v>
      </c>
      <c r="F613" s="67" t="s">
        <v>2094</v>
      </c>
      <c r="G613" s="68">
        <v>-1.6999999999999999E-3</v>
      </c>
      <c r="H613" s="64"/>
    </row>
    <row r="614" spans="1:8" x14ac:dyDescent="0.25">
      <c r="A614" s="65">
        <v>43270</v>
      </c>
      <c r="B614" s="66">
        <v>10710.45</v>
      </c>
      <c r="C614" s="66">
        <v>10789.45</v>
      </c>
      <c r="D614" s="66">
        <v>10789.45</v>
      </c>
      <c r="E614" s="66">
        <v>10701.2</v>
      </c>
      <c r="F614" s="67" t="s">
        <v>2093</v>
      </c>
      <c r="G614" s="68">
        <v>-8.3000000000000001E-3</v>
      </c>
      <c r="H614" s="64"/>
    </row>
    <row r="615" spans="1:8" x14ac:dyDescent="0.25">
      <c r="A615" s="65">
        <v>43271</v>
      </c>
      <c r="B615" s="66">
        <v>10772.05</v>
      </c>
      <c r="C615" s="66">
        <v>10734.65</v>
      </c>
      <c r="D615" s="66">
        <v>10781.8</v>
      </c>
      <c r="E615" s="66">
        <v>10724.05</v>
      </c>
      <c r="F615" s="67" t="s">
        <v>2092</v>
      </c>
      <c r="G615" s="68">
        <v>5.7999999999999996E-3</v>
      </c>
      <c r="H615" s="64"/>
    </row>
    <row r="616" spans="1:8" x14ac:dyDescent="0.25">
      <c r="A616" s="65">
        <v>43272</v>
      </c>
      <c r="B616" s="66">
        <v>10741.1</v>
      </c>
      <c r="C616" s="66">
        <v>10808.45</v>
      </c>
      <c r="D616" s="66">
        <v>10809.6</v>
      </c>
      <c r="E616" s="66">
        <v>10725.9</v>
      </c>
      <c r="F616" s="67" t="s">
        <v>2091</v>
      </c>
      <c r="G616" s="68">
        <v>-2.8999999999999998E-3</v>
      </c>
      <c r="H616" s="64"/>
    </row>
    <row r="617" spans="1:8" x14ac:dyDescent="0.25">
      <c r="A617" s="65">
        <v>43273</v>
      </c>
      <c r="B617" s="66">
        <v>10821.85</v>
      </c>
      <c r="C617" s="66">
        <v>10742.7</v>
      </c>
      <c r="D617" s="66">
        <v>10837</v>
      </c>
      <c r="E617" s="66">
        <v>10710.45</v>
      </c>
      <c r="F617" s="67" t="s">
        <v>2090</v>
      </c>
      <c r="G617" s="68">
        <v>7.4999999999999997E-3</v>
      </c>
      <c r="H617" s="64"/>
    </row>
    <row r="618" spans="1:8" x14ac:dyDescent="0.25">
      <c r="A618" s="65">
        <v>43276</v>
      </c>
      <c r="B618" s="66">
        <v>10762.45</v>
      </c>
      <c r="C618" s="66">
        <v>10822.9</v>
      </c>
      <c r="D618" s="66">
        <v>10831.05</v>
      </c>
      <c r="E618" s="66">
        <v>10753.05</v>
      </c>
      <c r="F618" s="67" t="s">
        <v>2089</v>
      </c>
      <c r="G618" s="68">
        <v>-5.4999999999999997E-3</v>
      </c>
      <c r="H618" s="64"/>
    </row>
    <row r="619" spans="1:8" x14ac:dyDescent="0.25">
      <c r="A619" s="65">
        <v>43277</v>
      </c>
      <c r="B619" s="66">
        <v>10769.15</v>
      </c>
      <c r="C619" s="66">
        <v>10742.7</v>
      </c>
      <c r="D619" s="66">
        <v>10805.25</v>
      </c>
      <c r="E619" s="66">
        <v>10732.55</v>
      </c>
      <c r="F619" s="67" t="s">
        <v>2088</v>
      </c>
      <c r="G619" s="68">
        <v>5.9999999999999995E-4</v>
      </c>
      <c r="H619" s="64"/>
    </row>
    <row r="620" spans="1:8" x14ac:dyDescent="0.25">
      <c r="A620" s="65">
        <v>43278</v>
      </c>
      <c r="B620" s="66">
        <v>10671.4</v>
      </c>
      <c r="C620" s="66">
        <v>10785.5</v>
      </c>
      <c r="D620" s="66">
        <v>10785.5</v>
      </c>
      <c r="E620" s="66">
        <v>10652.4</v>
      </c>
      <c r="F620" s="67" t="s">
        <v>2087</v>
      </c>
      <c r="G620" s="68">
        <v>-9.1000000000000004E-3</v>
      </c>
      <c r="H620" s="64"/>
    </row>
    <row r="621" spans="1:8" x14ac:dyDescent="0.25">
      <c r="A621" s="65">
        <v>43279</v>
      </c>
      <c r="B621" s="66">
        <v>10589.1</v>
      </c>
      <c r="C621" s="66">
        <v>10660.8</v>
      </c>
      <c r="D621" s="66">
        <v>10674.2</v>
      </c>
      <c r="E621" s="66">
        <v>10557.7</v>
      </c>
      <c r="F621" s="67" t="s">
        <v>2086</v>
      </c>
      <c r="G621" s="68">
        <v>-7.7000000000000002E-3</v>
      </c>
      <c r="H621" s="64"/>
    </row>
    <row r="622" spans="1:8" x14ac:dyDescent="0.25">
      <c r="A622" s="65">
        <v>43280</v>
      </c>
      <c r="B622" s="66">
        <v>10714.3</v>
      </c>
      <c r="C622" s="66">
        <v>10612.85</v>
      </c>
      <c r="D622" s="66">
        <v>10723.05</v>
      </c>
      <c r="E622" s="66">
        <v>10612.35</v>
      </c>
      <c r="F622" s="67" t="s">
        <v>2085</v>
      </c>
      <c r="G622" s="68">
        <v>1.18E-2</v>
      </c>
      <c r="H622" s="64"/>
    </row>
    <row r="623" spans="1:8" x14ac:dyDescent="0.25">
      <c r="A623" s="65">
        <v>43283</v>
      </c>
      <c r="B623" s="66">
        <v>10657.3</v>
      </c>
      <c r="C623" s="66">
        <v>10732.35</v>
      </c>
      <c r="D623" s="66">
        <v>10736.15</v>
      </c>
      <c r="E623" s="66">
        <v>10604.65</v>
      </c>
      <c r="F623" s="67" t="s">
        <v>2084</v>
      </c>
      <c r="G623" s="68">
        <v>-5.3E-3</v>
      </c>
      <c r="H623" s="64"/>
    </row>
    <row r="624" spans="1:8" x14ac:dyDescent="0.25">
      <c r="A624" s="65">
        <v>43284</v>
      </c>
      <c r="B624" s="66">
        <v>10699.9</v>
      </c>
      <c r="C624" s="66">
        <v>10668.6</v>
      </c>
      <c r="D624" s="66">
        <v>10713.3</v>
      </c>
      <c r="E624" s="66">
        <v>10630.25</v>
      </c>
      <c r="F624" s="67" t="s">
        <v>2083</v>
      </c>
      <c r="G624" s="68">
        <v>4.0000000000000001E-3</v>
      </c>
      <c r="H624" s="64"/>
    </row>
    <row r="625" spans="1:8" x14ac:dyDescent="0.25">
      <c r="A625" s="65">
        <v>43285</v>
      </c>
      <c r="B625" s="66">
        <v>10769.9</v>
      </c>
      <c r="C625" s="66">
        <v>10715</v>
      </c>
      <c r="D625" s="66">
        <v>10777.15</v>
      </c>
      <c r="E625" s="66">
        <v>10677.75</v>
      </c>
      <c r="F625" s="67" t="s">
        <v>2082</v>
      </c>
      <c r="G625" s="68">
        <v>6.4999999999999997E-3</v>
      </c>
      <c r="H625" s="64"/>
    </row>
    <row r="626" spans="1:8" x14ac:dyDescent="0.25">
      <c r="A626" s="65">
        <v>43286</v>
      </c>
      <c r="B626" s="66">
        <v>10749.75</v>
      </c>
      <c r="C626" s="66">
        <v>10786.05</v>
      </c>
      <c r="D626" s="66">
        <v>10786.05</v>
      </c>
      <c r="E626" s="66">
        <v>10726.25</v>
      </c>
      <c r="F626" s="67" t="s">
        <v>2081</v>
      </c>
      <c r="G626" s="68">
        <v>-1.9E-3</v>
      </c>
      <c r="H626" s="64"/>
    </row>
    <row r="627" spans="1:8" x14ac:dyDescent="0.25">
      <c r="A627" s="65">
        <v>43287</v>
      </c>
      <c r="B627" s="66">
        <v>10772.65</v>
      </c>
      <c r="C627" s="66">
        <v>10744.15</v>
      </c>
      <c r="D627" s="66">
        <v>10816.35</v>
      </c>
      <c r="E627" s="66">
        <v>10735.05</v>
      </c>
      <c r="F627" s="67" t="s">
        <v>2080</v>
      </c>
      <c r="G627" s="68">
        <v>2.0999999999999999E-3</v>
      </c>
      <c r="H627" s="64"/>
    </row>
    <row r="628" spans="1:8" x14ac:dyDescent="0.25">
      <c r="A628" s="65">
        <v>43290</v>
      </c>
      <c r="B628" s="66">
        <v>10852.9</v>
      </c>
      <c r="C628" s="66">
        <v>10838.3</v>
      </c>
      <c r="D628" s="66">
        <v>10860.35</v>
      </c>
      <c r="E628" s="66">
        <v>10807.15</v>
      </c>
      <c r="F628" s="67" t="s">
        <v>2079</v>
      </c>
      <c r="G628" s="68">
        <v>7.4000000000000003E-3</v>
      </c>
      <c r="H628" s="64"/>
    </row>
    <row r="629" spans="1:8" x14ac:dyDescent="0.25">
      <c r="A629" s="65">
        <v>43291</v>
      </c>
      <c r="B629" s="66">
        <v>10947.25</v>
      </c>
      <c r="C629" s="66">
        <v>10902.75</v>
      </c>
      <c r="D629" s="66">
        <v>10956.9</v>
      </c>
      <c r="E629" s="66">
        <v>10876.65</v>
      </c>
      <c r="F629" s="67" t="s">
        <v>2078</v>
      </c>
      <c r="G629" s="68">
        <v>8.6999999999999994E-3</v>
      </c>
      <c r="H629" s="64"/>
    </row>
    <row r="630" spans="1:8" x14ac:dyDescent="0.25">
      <c r="A630" s="65">
        <v>43292</v>
      </c>
      <c r="B630" s="66">
        <v>10948.3</v>
      </c>
      <c r="C630" s="66">
        <v>10956.4</v>
      </c>
      <c r="D630" s="66">
        <v>10976.65</v>
      </c>
      <c r="E630" s="66">
        <v>10923</v>
      </c>
      <c r="F630" s="67" t="s">
        <v>2077</v>
      </c>
      <c r="G630" s="68">
        <v>1E-4</v>
      </c>
      <c r="H630" s="64"/>
    </row>
    <row r="631" spans="1:8" x14ac:dyDescent="0.25">
      <c r="A631" s="65">
        <v>43293</v>
      </c>
      <c r="B631" s="66">
        <v>11023.2</v>
      </c>
      <c r="C631" s="66">
        <v>11006.95</v>
      </c>
      <c r="D631" s="66">
        <v>11078.3</v>
      </c>
      <c r="E631" s="66">
        <v>10999.65</v>
      </c>
      <c r="F631" s="67" t="s">
        <v>1053</v>
      </c>
      <c r="G631" s="68">
        <v>6.7999999999999996E-3</v>
      </c>
      <c r="H631" s="64"/>
    </row>
    <row r="632" spans="1:8" x14ac:dyDescent="0.25">
      <c r="A632" s="65">
        <v>43294</v>
      </c>
      <c r="B632" s="66">
        <v>11018.9</v>
      </c>
      <c r="C632" s="66">
        <v>11056.9</v>
      </c>
      <c r="D632" s="66">
        <v>11071.35</v>
      </c>
      <c r="E632" s="66">
        <v>10999.75</v>
      </c>
      <c r="F632" s="67" t="s">
        <v>2076</v>
      </c>
      <c r="G632" s="68">
        <v>-4.0000000000000002E-4</v>
      </c>
      <c r="H632" s="64"/>
    </row>
    <row r="633" spans="1:8" x14ac:dyDescent="0.25">
      <c r="A633" s="65">
        <v>43297</v>
      </c>
      <c r="B633" s="66">
        <v>10936.85</v>
      </c>
      <c r="C633" s="66">
        <v>11018.95</v>
      </c>
      <c r="D633" s="66">
        <v>11019.5</v>
      </c>
      <c r="E633" s="66">
        <v>10926.25</v>
      </c>
      <c r="F633" s="67" t="s">
        <v>2075</v>
      </c>
      <c r="G633" s="68">
        <v>-7.4000000000000003E-3</v>
      </c>
      <c r="H633" s="64"/>
    </row>
    <row r="634" spans="1:8" x14ac:dyDescent="0.25">
      <c r="A634" s="65">
        <v>43298</v>
      </c>
      <c r="B634" s="66">
        <v>11008.05</v>
      </c>
      <c r="C634" s="66">
        <v>10939.65</v>
      </c>
      <c r="D634" s="66">
        <v>11018.5</v>
      </c>
      <c r="E634" s="66">
        <v>10925.6</v>
      </c>
      <c r="F634" s="67" t="s">
        <v>2074</v>
      </c>
      <c r="G634" s="68">
        <v>6.4999999999999997E-3</v>
      </c>
      <c r="H634" s="64"/>
    </row>
    <row r="635" spans="1:8" x14ac:dyDescent="0.25">
      <c r="A635" s="65">
        <v>43299</v>
      </c>
      <c r="B635" s="66">
        <v>10980.45</v>
      </c>
      <c r="C635" s="66">
        <v>11060.2</v>
      </c>
      <c r="D635" s="66">
        <v>11076.2</v>
      </c>
      <c r="E635" s="66">
        <v>10956.3</v>
      </c>
      <c r="F635" s="67" t="s">
        <v>2073</v>
      </c>
      <c r="G635" s="68">
        <v>-2.5000000000000001E-3</v>
      </c>
      <c r="H635" s="64"/>
    </row>
    <row r="636" spans="1:8" x14ac:dyDescent="0.25">
      <c r="A636" s="65">
        <v>43300</v>
      </c>
      <c r="B636" s="66">
        <v>10957.1</v>
      </c>
      <c r="C636" s="66">
        <v>10999.5</v>
      </c>
      <c r="D636" s="66">
        <v>11006.5</v>
      </c>
      <c r="E636" s="66">
        <v>10935.45</v>
      </c>
      <c r="F636" s="67" t="s">
        <v>2072</v>
      </c>
      <c r="G636" s="68">
        <v>-2.0999999999999999E-3</v>
      </c>
      <c r="H636" s="64"/>
    </row>
    <row r="637" spans="1:8" x14ac:dyDescent="0.25">
      <c r="A637" s="65">
        <v>43301</v>
      </c>
      <c r="B637" s="66">
        <v>11010.2</v>
      </c>
      <c r="C637" s="66">
        <v>10963.5</v>
      </c>
      <c r="D637" s="66">
        <v>11030.25</v>
      </c>
      <c r="E637" s="66">
        <v>10946.2</v>
      </c>
      <c r="F637" s="67" t="s">
        <v>2071</v>
      </c>
      <c r="G637" s="68">
        <v>4.7999999999999996E-3</v>
      </c>
      <c r="H637" s="64"/>
    </row>
    <row r="638" spans="1:8" x14ac:dyDescent="0.25">
      <c r="A638" s="65">
        <v>43304</v>
      </c>
      <c r="B638" s="66">
        <v>11084.75</v>
      </c>
      <c r="C638" s="66">
        <v>11019.85</v>
      </c>
      <c r="D638" s="66">
        <v>11093.4</v>
      </c>
      <c r="E638" s="66">
        <v>11010.95</v>
      </c>
      <c r="F638" s="67" t="s">
        <v>2070</v>
      </c>
      <c r="G638" s="68">
        <v>6.7999999999999996E-3</v>
      </c>
      <c r="H638" s="64"/>
    </row>
    <row r="639" spans="1:8" x14ac:dyDescent="0.25">
      <c r="A639" s="65">
        <v>43305</v>
      </c>
      <c r="B639" s="66">
        <v>11134.3</v>
      </c>
      <c r="C639" s="66">
        <v>11109</v>
      </c>
      <c r="D639" s="66">
        <v>11143.4</v>
      </c>
      <c r="E639" s="66">
        <v>11092.5</v>
      </c>
      <c r="F639" s="67" t="s">
        <v>2069</v>
      </c>
      <c r="G639" s="68">
        <v>4.4999999999999997E-3</v>
      </c>
      <c r="H639" s="64"/>
    </row>
    <row r="640" spans="1:8" x14ac:dyDescent="0.25">
      <c r="A640" s="65">
        <v>43306</v>
      </c>
      <c r="B640" s="66">
        <v>11132</v>
      </c>
      <c r="C640" s="66">
        <v>11148.4</v>
      </c>
      <c r="D640" s="66">
        <v>11157.15</v>
      </c>
      <c r="E640" s="66">
        <v>11113.25</v>
      </c>
      <c r="F640" s="67" t="s">
        <v>2068</v>
      </c>
      <c r="G640" s="68">
        <v>-2.0000000000000001E-4</v>
      </c>
      <c r="H640" s="64"/>
    </row>
    <row r="641" spans="1:8" x14ac:dyDescent="0.25">
      <c r="A641" s="65">
        <v>43307</v>
      </c>
      <c r="B641" s="66">
        <v>11167.3</v>
      </c>
      <c r="C641" s="66">
        <v>11132.95</v>
      </c>
      <c r="D641" s="66">
        <v>11185.85</v>
      </c>
      <c r="E641" s="66">
        <v>11125.7</v>
      </c>
      <c r="F641" s="67" t="s">
        <v>2067</v>
      </c>
      <c r="G641" s="68">
        <v>3.2000000000000002E-3</v>
      </c>
      <c r="H641" s="64"/>
    </row>
    <row r="642" spans="1:8" x14ac:dyDescent="0.25">
      <c r="A642" s="65">
        <v>43308</v>
      </c>
      <c r="B642" s="66">
        <v>11278.35</v>
      </c>
      <c r="C642" s="66">
        <v>11232.75</v>
      </c>
      <c r="D642" s="66">
        <v>11283.4</v>
      </c>
      <c r="E642" s="66">
        <v>11210.25</v>
      </c>
      <c r="F642" s="67" t="s">
        <v>2066</v>
      </c>
      <c r="G642" s="68">
        <v>9.9000000000000008E-3</v>
      </c>
      <c r="H642" s="64"/>
    </row>
    <row r="643" spans="1:8" x14ac:dyDescent="0.25">
      <c r="A643" s="65">
        <v>43311</v>
      </c>
      <c r="B643" s="66">
        <v>11319.55</v>
      </c>
      <c r="C643" s="66">
        <v>11296.65</v>
      </c>
      <c r="D643" s="66">
        <v>11328.1</v>
      </c>
      <c r="E643" s="66">
        <v>11261.45</v>
      </c>
      <c r="F643" s="67" t="s">
        <v>735</v>
      </c>
      <c r="G643" s="68">
        <v>3.7000000000000002E-3</v>
      </c>
      <c r="H643" s="64"/>
    </row>
    <row r="644" spans="1:8" x14ac:dyDescent="0.25">
      <c r="A644" s="65">
        <v>43312</v>
      </c>
      <c r="B644" s="66">
        <v>11356.5</v>
      </c>
      <c r="C644" s="66">
        <v>11311.05</v>
      </c>
      <c r="D644" s="66">
        <v>11366</v>
      </c>
      <c r="E644" s="66">
        <v>11267.75</v>
      </c>
      <c r="F644" s="67" t="s">
        <v>2065</v>
      </c>
      <c r="G644" s="68">
        <v>3.3E-3</v>
      </c>
      <c r="H644" s="64"/>
    </row>
    <row r="645" spans="1:8" x14ac:dyDescent="0.25">
      <c r="A645" s="65">
        <v>43313</v>
      </c>
      <c r="B645" s="66">
        <v>11346.2</v>
      </c>
      <c r="C645" s="66">
        <v>11359.8</v>
      </c>
      <c r="D645" s="66">
        <v>11390.55</v>
      </c>
      <c r="E645" s="66">
        <v>11313.55</v>
      </c>
      <c r="F645" s="67" t="s">
        <v>2064</v>
      </c>
      <c r="G645" s="68">
        <v>-8.9999999999999998E-4</v>
      </c>
      <c r="H645" s="64"/>
    </row>
    <row r="646" spans="1:8" x14ac:dyDescent="0.25">
      <c r="A646" s="65">
        <v>43314</v>
      </c>
      <c r="B646" s="66">
        <v>11244.7</v>
      </c>
      <c r="C646" s="66">
        <v>11328.9</v>
      </c>
      <c r="D646" s="66">
        <v>11328.9</v>
      </c>
      <c r="E646" s="66">
        <v>11234.95</v>
      </c>
      <c r="F646" s="67" t="s">
        <v>2063</v>
      </c>
      <c r="G646" s="68">
        <v>-8.8999999999999999E-3</v>
      </c>
      <c r="H646" s="64"/>
    </row>
    <row r="647" spans="1:8" x14ac:dyDescent="0.25">
      <c r="A647" s="65">
        <v>43315</v>
      </c>
      <c r="B647" s="66">
        <v>11360.8</v>
      </c>
      <c r="C647" s="66">
        <v>11297.8</v>
      </c>
      <c r="D647" s="66">
        <v>11368</v>
      </c>
      <c r="E647" s="66">
        <v>11294.55</v>
      </c>
      <c r="F647" s="67" t="s">
        <v>2062</v>
      </c>
      <c r="G647" s="68">
        <v>1.03E-2</v>
      </c>
      <c r="H647" s="64"/>
    </row>
    <row r="648" spans="1:8" x14ac:dyDescent="0.25">
      <c r="A648" s="65">
        <v>43318</v>
      </c>
      <c r="B648" s="66">
        <v>11387.1</v>
      </c>
      <c r="C648" s="66">
        <v>11401.5</v>
      </c>
      <c r="D648" s="66">
        <v>11427.65</v>
      </c>
      <c r="E648" s="66">
        <v>11370.6</v>
      </c>
      <c r="F648" s="67" t="s">
        <v>2061</v>
      </c>
      <c r="G648" s="68">
        <v>2.3E-3</v>
      </c>
      <c r="H648" s="64"/>
    </row>
    <row r="649" spans="1:8" x14ac:dyDescent="0.25">
      <c r="A649" s="65">
        <v>43319</v>
      </c>
      <c r="B649" s="66">
        <v>11389.45</v>
      </c>
      <c r="C649" s="66">
        <v>11423.15</v>
      </c>
      <c r="D649" s="66">
        <v>11428.95</v>
      </c>
      <c r="E649" s="66">
        <v>11359.7</v>
      </c>
      <c r="F649" s="67" t="s">
        <v>2060</v>
      </c>
      <c r="G649" s="68">
        <v>2.0000000000000001E-4</v>
      </c>
      <c r="H649" s="64"/>
    </row>
    <row r="650" spans="1:8" x14ac:dyDescent="0.25">
      <c r="A650" s="65">
        <v>43320</v>
      </c>
      <c r="B650" s="66">
        <v>11450</v>
      </c>
      <c r="C650" s="66">
        <v>11412.5</v>
      </c>
      <c r="D650" s="66">
        <v>11459.95</v>
      </c>
      <c r="E650" s="66">
        <v>11379.3</v>
      </c>
      <c r="F650" s="67" t="s">
        <v>2059</v>
      </c>
      <c r="G650" s="68">
        <v>5.3E-3</v>
      </c>
      <c r="H650" s="64"/>
    </row>
    <row r="651" spans="1:8" x14ac:dyDescent="0.25">
      <c r="A651" s="65">
        <v>43321</v>
      </c>
      <c r="B651" s="66">
        <v>11470.7</v>
      </c>
      <c r="C651" s="66">
        <v>11493.25</v>
      </c>
      <c r="D651" s="66">
        <v>11495.2</v>
      </c>
      <c r="E651" s="66">
        <v>11454.1</v>
      </c>
      <c r="F651" s="67" t="s">
        <v>2058</v>
      </c>
      <c r="G651" s="68">
        <v>1.8E-3</v>
      </c>
      <c r="H651" s="64"/>
    </row>
    <row r="652" spans="1:8" x14ac:dyDescent="0.25">
      <c r="A652" s="65">
        <v>43322</v>
      </c>
      <c r="B652" s="66">
        <v>11429.5</v>
      </c>
      <c r="C652" s="66">
        <v>11474.95</v>
      </c>
      <c r="D652" s="66">
        <v>11478.75</v>
      </c>
      <c r="E652" s="66">
        <v>11419.65</v>
      </c>
      <c r="F652" s="67" t="s">
        <v>2057</v>
      </c>
      <c r="G652" s="68">
        <v>-3.5999999999999999E-3</v>
      </c>
      <c r="H652" s="64"/>
    </row>
    <row r="653" spans="1:8" x14ac:dyDescent="0.25">
      <c r="A653" s="65">
        <v>43325</v>
      </c>
      <c r="B653" s="66">
        <v>11355.75</v>
      </c>
      <c r="C653" s="66">
        <v>11369.6</v>
      </c>
      <c r="D653" s="66">
        <v>11406.3</v>
      </c>
      <c r="E653" s="66">
        <v>11340.3</v>
      </c>
      <c r="F653" s="67" t="s">
        <v>2056</v>
      </c>
      <c r="G653" s="68">
        <v>-6.4999999999999997E-3</v>
      </c>
      <c r="H653" s="64"/>
    </row>
    <row r="654" spans="1:8" x14ac:dyDescent="0.25">
      <c r="A654" s="65">
        <v>43326</v>
      </c>
      <c r="B654" s="66">
        <v>11435.1</v>
      </c>
      <c r="C654" s="66">
        <v>11381.7</v>
      </c>
      <c r="D654" s="66">
        <v>11452.45</v>
      </c>
      <c r="E654" s="66">
        <v>11370.8</v>
      </c>
      <c r="F654" s="67" t="s">
        <v>2053</v>
      </c>
      <c r="G654" s="68">
        <v>7.0000000000000001E-3</v>
      </c>
      <c r="H654" s="64"/>
    </row>
    <row r="655" spans="1:8" x14ac:dyDescent="0.25">
      <c r="A655" s="65">
        <v>43328</v>
      </c>
      <c r="B655" s="66">
        <v>11385.05</v>
      </c>
      <c r="C655" s="66">
        <v>11397.15</v>
      </c>
      <c r="D655" s="66">
        <v>11449.85</v>
      </c>
      <c r="E655" s="66">
        <v>11366.25</v>
      </c>
      <c r="F655" s="67" t="s">
        <v>2055</v>
      </c>
      <c r="G655" s="68">
        <v>-4.4000000000000003E-3</v>
      </c>
      <c r="H655" s="64"/>
    </row>
    <row r="656" spans="1:8" x14ac:dyDescent="0.25">
      <c r="A656" s="65">
        <v>43329</v>
      </c>
      <c r="B656" s="66">
        <v>11470.75</v>
      </c>
      <c r="C656" s="66">
        <v>11437.15</v>
      </c>
      <c r="D656" s="66">
        <v>11486.45</v>
      </c>
      <c r="E656" s="66">
        <v>11431.8</v>
      </c>
      <c r="F656" s="67" t="s">
        <v>2054</v>
      </c>
      <c r="G656" s="68">
        <v>7.4999999999999997E-3</v>
      </c>
      <c r="H656" s="64"/>
    </row>
    <row r="657" spans="1:8" x14ac:dyDescent="0.25">
      <c r="A657" s="65">
        <v>43332</v>
      </c>
      <c r="B657" s="66">
        <v>11551.75</v>
      </c>
      <c r="C657" s="66">
        <v>11502.1</v>
      </c>
      <c r="D657" s="66">
        <v>11565.3</v>
      </c>
      <c r="E657" s="66">
        <v>11499.65</v>
      </c>
      <c r="F657" s="67" t="s">
        <v>2053</v>
      </c>
      <c r="G657" s="68">
        <v>7.1000000000000004E-3</v>
      </c>
      <c r="H657" s="64"/>
    </row>
    <row r="658" spans="1:8" x14ac:dyDescent="0.25">
      <c r="A658" s="65">
        <v>43333</v>
      </c>
      <c r="B658" s="66">
        <v>11570.9</v>
      </c>
      <c r="C658" s="66">
        <v>11576.2</v>
      </c>
      <c r="D658" s="66">
        <v>11581.75</v>
      </c>
      <c r="E658" s="66">
        <v>11539.6</v>
      </c>
      <c r="F658" s="67" t="s">
        <v>2052</v>
      </c>
      <c r="G658" s="68">
        <v>1.6999999999999999E-3</v>
      </c>
      <c r="H658" s="64"/>
    </row>
    <row r="659" spans="1:8" x14ac:dyDescent="0.25">
      <c r="A659" s="65">
        <v>43335</v>
      </c>
      <c r="B659" s="66">
        <v>11582.75</v>
      </c>
      <c r="C659" s="66">
        <v>11620.7</v>
      </c>
      <c r="D659" s="66">
        <v>11620.7</v>
      </c>
      <c r="E659" s="66">
        <v>11546.7</v>
      </c>
      <c r="F659" s="67" t="s">
        <v>2051</v>
      </c>
      <c r="G659" s="68">
        <v>1E-3</v>
      </c>
      <c r="H659" s="64"/>
    </row>
    <row r="660" spans="1:8" x14ac:dyDescent="0.25">
      <c r="A660" s="65">
        <v>43336</v>
      </c>
      <c r="B660" s="66">
        <v>11557.1</v>
      </c>
      <c r="C660" s="66">
        <v>11566.6</v>
      </c>
      <c r="D660" s="66">
        <v>11604.6</v>
      </c>
      <c r="E660" s="66">
        <v>11532</v>
      </c>
      <c r="F660" s="67" t="s">
        <v>2050</v>
      </c>
      <c r="G660" s="68">
        <v>-2.2000000000000001E-3</v>
      </c>
      <c r="H660" s="64"/>
    </row>
    <row r="661" spans="1:8" x14ac:dyDescent="0.25">
      <c r="A661" s="65">
        <v>43339</v>
      </c>
      <c r="B661" s="66">
        <v>11691.95</v>
      </c>
      <c r="C661" s="66">
        <v>11605.85</v>
      </c>
      <c r="D661" s="66">
        <v>11700.95</v>
      </c>
      <c r="E661" s="66">
        <v>11595.6</v>
      </c>
      <c r="F661" s="67" t="s">
        <v>2049</v>
      </c>
      <c r="G661" s="68">
        <v>1.17E-2</v>
      </c>
      <c r="H661" s="64"/>
    </row>
    <row r="662" spans="1:8" x14ac:dyDescent="0.25">
      <c r="A662" s="65">
        <v>43340</v>
      </c>
      <c r="B662" s="66">
        <v>11738.5</v>
      </c>
      <c r="C662" s="66">
        <v>11731.95</v>
      </c>
      <c r="D662" s="66">
        <v>11760.2</v>
      </c>
      <c r="E662" s="66">
        <v>11710.5</v>
      </c>
      <c r="F662" s="67" t="s">
        <v>2048</v>
      </c>
      <c r="G662" s="68">
        <v>4.0000000000000001E-3</v>
      </c>
      <c r="H662" s="64"/>
    </row>
    <row r="663" spans="1:8" x14ac:dyDescent="0.25">
      <c r="A663" s="65">
        <v>43341</v>
      </c>
      <c r="B663" s="66">
        <v>11691.9</v>
      </c>
      <c r="C663" s="66">
        <v>11744.95</v>
      </c>
      <c r="D663" s="66">
        <v>11753.2</v>
      </c>
      <c r="E663" s="66">
        <v>11678.85</v>
      </c>
      <c r="F663" s="67" t="s">
        <v>2047</v>
      </c>
      <c r="G663" s="68">
        <v>-4.0000000000000001E-3</v>
      </c>
      <c r="H663" s="64"/>
    </row>
    <row r="664" spans="1:8" x14ac:dyDescent="0.25">
      <c r="A664" s="65">
        <v>43342</v>
      </c>
      <c r="B664" s="66">
        <v>11676.8</v>
      </c>
      <c r="C664" s="66">
        <v>11694.75</v>
      </c>
      <c r="D664" s="66">
        <v>11698.8</v>
      </c>
      <c r="E664" s="66">
        <v>11639.7</v>
      </c>
      <c r="F664" s="67" t="s">
        <v>2046</v>
      </c>
      <c r="G664" s="68">
        <v>-1.2999999999999999E-3</v>
      </c>
      <c r="H664" s="64"/>
    </row>
    <row r="665" spans="1:8" x14ac:dyDescent="0.25">
      <c r="A665" s="65">
        <v>43343</v>
      </c>
      <c r="B665" s="66">
        <v>11680.5</v>
      </c>
      <c r="C665" s="66">
        <v>11675.85</v>
      </c>
      <c r="D665" s="66">
        <v>11727.65</v>
      </c>
      <c r="E665" s="66">
        <v>11640.1</v>
      </c>
      <c r="F665" s="67" t="s">
        <v>2045</v>
      </c>
      <c r="G665" s="68">
        <v>2.9999999999999997E-4</v>
      </c>
      <c r="H665" s="64"/>
    </row>
    <row r="666" spans="1:8" x14ac:dyDescent="0.25">
      <c r="A666" s="65">
        <v>43346</v>
      </c>
      <c r="B666" s="66">
        <v>11582.35</v>
      </c>
      <c r="C666" s="66">
        <v>11751.8</v>
      </c>
      <c r="D666" s="66">
        <v>11751.8</v>
      </c>
      <c r="E666" s="66">
        <v>11567.4</v>
      </c>
      <c r="F666" s="67" t="s">
        <v>2044</v>
      </c>
      <c r="G666" s="68">
        <v>-8.3999999999999995E-3</v>
      </c>
      <c r="H666" s="64"/>
    </row>
    <row r="667" spans="1:8" x14ac:dyDescent="0.25">
      <c r="A667" s="65">
        <v>43347</v>
      </c>
      <c r="B667" s="66">
        <v>11520.3</v>
      </c>
      <c r="C667" s="66">
        <v>11598.75</v>
      </c>
      <c r="D667" s="66">
        <v>11602.55</v>
      </c>
      <c r="E667" s="66">
        <v>11496.85</v>
      </c>
      <c r="F667" s="67" t="s">
        <v>2043</v>
      </c>
      <c r="G667" s="68">
        <v>-5.4000000000000003E-3</v>
      </c>
      <c r="H667" s="64"/>
    </row>
    <row r="668" spans="1:8" x14ac:dyDescent="0.25">
      <c r="A668" s="65">
        <v>43348</v>
      </c>
      <c r="B668" s="66">
        <v>11476.95</v>
      </c>
      <c r="C668" s="66">
        <v>11514.85</v>
      </c>
      <c r="D668" s="66">
        <v>11542.65</v>
      </c>
      <c r="E668" s="66">
        <v>11393.85</v>
      </c>
      <c r="F668" s="67" t="s">
        <v>2042</v>
      </c>
      <c r="G668" s="68">
        <v>-3.8E-3</v>
      </c>
      <c r="H668" s="64"/>
    </row>
    <row r="669" spans="1:8" x14ac:dyDescent="0.25">
      <c r="A669" s="65">
        <v>43349</v>
      </c>
      <c r="B669" s="66">
        <v>11536.9</v>
      </c>
      <c r="C669" s="66">
        <v>11514.15</v>
      </c>
      <c r="D669" s="66">
        <v>11562.25</v>
      </c>
      <c r="E669" s="66">
        <v>11436.05</v>
      </c>
      <c r="F669" s="67" t="s">
        <v>2041</v>
      </c>
      <c r="G669" s="68">
        <v>5.1999999999999998E-3</v>
      </c>
      <c r="H669" s="64"/>
    </row>
    <row r="670" spans="1:8" x14ac:dyDescent="0.25">
      <c r="A670" s="65">
        <v>43350</v>
      </c>
      <c r="B670" s="66">
        <v>11589.1</v>
      </c>
      <c r="C670" s="66">
        <v>11558.25</v>
      </c>
      <c r="D670" s="66">
        <v>11603</v>
      </c>
      <c r="E670" s="66">
        <v>11484.4</v>
      </c>
      <c r="F670" s="67" t="s">
        <v>2040</v>
      </c>
      <c r="G670" s="68">
        <v>4.4999999999999997E-3</v>
      </c>
      <c r="H670" s="64"/>
    </row>
    <row r="671" spans="1:8" x14ac:dyDescent="0.25">
      <c r="A671" s="65">
        <v>43353</v>
      </c>
      <c r="B671" s="66">
        <v>11438.1</v>
      </c>
      <c r="C671" s="66">
        <v>11570.25</v>
      </c>
      <c r="D671" s="66">
        <v>11573</v>
      </c>
      <c r="E671" s="66">
        <v>11427.3</v>
      </c>
      <c r="F671" s="67" t="s">
        <v>2039</v>
      </c>
      <c r="G671" s="68">
        <v>-1.2999999999999999E-2</v>
      </c>
      <c r="H671" s="64"/>
    </row>
    <row r="672" spans="1:8" x14ac:dyDescent="0.25">
      <c r="A672" s="65">
        <v>43354</v>
      </c>
      <c r="B672" s="66">
        <v>11287.5</v>
      </c>
      <c r="C672" s="66">
        <v>11476.85</v>
      </c>
      <c r="D672" s="66">
        <v>11479.4</v>
      </c>
      <c r="E672" s="66">
        <v>11274</v>
      </c>
      <c r="F672" s="67" t="s">
        <v>2038</v>
      </c>
      <c r="G672" s="68">
        <v>-1.32E-2</v>
      </c>
      <c r="H672" s="64"/>
    </row>
    <row r="673" spans="1:8" x14ac:dyDescent="0.25">
      <c r="A673" s="65">
        <v>43355</v>
      </c>
      <c r="B673" s="66">
        <v>11369.9</v>
      </c>
      <c r="C673" s="66">
        <v>11340.1</v>
      </c>
      <c r="D673" s="66">
        <v>11380.75</v>
      </c>
      <c r="E673" s="66">
        <v>11250.2</v>
      </c>
      <c r="F673" s="67" t="s">
        <v>2037</v>
      </c>
      <c r="G673" s="68">
        <v>7.3000000000000001E-3</v>
      </c>
      <c r="H673" s="64"/>
    </row>
    <row r="674" spans="1:8" x14ac:dyDescent="0.25">
      <c r="A674" s="65">
        <v>43357</v>
      </c>
      <c r="B674" s="66">
        <v>11515.2</v>
      </c>
      <c r="C674" s="66">
        <v>11443.5</v>
      </c>
      <c r="D674" s="66">
        <v>11523.25</v>
      </c>
      <c r="E674" s="66">
        <v>11430.55</v>
      </c>
      <c r="F674" s="67" t="s">
        <v>2036</v>
      </c>
      <c r="G674" s="68">
        <v>1.2800000000000001E-2</v>
      </c>
      <c r="H674" s="64"/>
    </row>
    <row r="675" spans="1:8" x14ac:dyDescent="0.25">
      <c r="A675" s="65">
        <v>43360</v>
      </c>
      <c r="B675" s="66">
        <v>11377.75</v>
      </c>
      <c r="C675" s="66">
        <v>11464.95</v>
      </c>
      <c r="D675" s="66">
        <v>11464.95</v>
      </c>
      <c r="E675" s="66">
        <v>11366.9</v>
      </c>
      <c r="F675" s="67" t="s">
        <v>2035</v>
      </c>
      <c r="G675" s="68">
        <v>-1.1900000000000001E-2</v>
      </c>
      <c r="H675" s="64"/>
    </row>
    <row r="676" spans="1:8" x14ac:dyDescent="0.25">
      <c r="A676" s="65">
        <v>43361</v>
      </c>
      <c r="B676" s="66">
        <v>11278.9</v>
      </c>
      <c r="C676" s="66">
        <v>11381.55</v>
      </c>
      <c r="D676" s="66">
        <v>11411.45</v>
      </c>
      <c r="E676" s="66">
        <v>11268.95</v>
      </c>
      <c r="F676" s="67" t="s">
        <v>2034</v>
      </c>
      <c r="G676" s="68">
        <v>-8.6999999999999994E-3</v>
      </c>
      <c r="H676" s="64"/>
    </row>
    <row r="677" spans="1:8" x14ac:dyDescent="0.25">
      <c r="A677" s="65">
        <v>43362</v>
      </c>
      <c r="B677" s="66">
        <v>11234.35</v>
      </c>
      <c r="C677" s="66">
        <v>11326.65</v>
      </c>
      <c r="D677" s="66">
        <v>11332.05</v>
      </c>
      <c r="E677" s="66">
        <v>11210.9</v>
      </c>
      <c r="F677" s="67" t="s">
        <v>2033</v>
      </c>
      <c r="G677" s="68">
        <v>-3.8999999999999998E-3</v>
      </c>
      <c r="H677" s="64"/>
    </row>
    <row r="678" spans="1:8" x14ac:dyDescent="0.25">
      <c r="A678" s="65">
        <v>43364</v>
      </c>
      <c r="B678" s="66">
        <v>11143.1</v>
      </c>
      <c r="C678" s="66">
        <v>11271.3</v>
      </c>
      <c r="D678" s="66">
        <v>11346.8</v>
      </c>
      <c r="E678" s="66">
        <v>10866.45</v>
      </c>
      <c r="F678" s="67" t="s">
        <v>1782</v>
      </c>
      <c r="G678" s="68">
        <v>-8.0999999999999996E-3</v>
      </c>
      <c r="H678" s="64"/>
    </row>
    <row r="679" spans="1:8" x14ac:dyDescent="0.25">
      <c r="A679" s="65">
        <v>43367</v>
      </c>
      <c r="B679" s="66">
        <v>10967.4</v>
      </c>
      <c r="C679" s="66">
        <v>11164.4</v>
      </c>
      <c r="D679" s="66">
        <v>11170.15</v>
      </c>
      <c r="E679" s="66">
        <v>10943.6</v>
      </c>
      <c r="F679" s="67" t="s">
        <v>2032</v>
      </c>
      <c r="G679" s="68">
        <v>-1.5800000000000002E-2</v>
      </c>
      <c r="H679" s="64"/>
    </row>
    <row r="680" spans="1:8" x14ac:dyDescent="0.25">
      <c r="A680" s="65">
        <v>43368</v>
      </c>
      <c r="B680" s="66">
        <v>11067.45</v>
      </c>
      <c r="C680" s="66">
        <v>10969.95</v>
      </c>
      <c r="D680" s="66">
        <v>11080.6</v>
      </c>
      <c r="E680" s="66">
        <v>10882.85</v>
      </c>
      <c r="F680" s="67" t="s">
        <v>2031</v>
      </c>
      <c r="G680" s="68">
        <v>9.1000000000000004E-3</v>
      </c>
      <c r="H680" s="64"/>
    </row>
    <row r="681" spans="1:8" x14ac:dyDescent="0.25">
      <c r="A681" s="65">
        <v>43369</v>
      </c>
      <c r="B681" s="66">
        <v>11053.8</v>
      </c>
      <c r="C681" s="66">
        <v>11145.55</v>
      </c>
      <c r="D681" s="66">
        <v>11145.55</v>
      </c>
      <c r="E681" s="66">
        <v>10993.05</v>
      </c>
      <c r="F681" s="67" t="s">
        <v>2030</v>
      </c>
      <c r="G681" s="68">
        <v>-1.1999999999999999E-3</v>
      </c>
      <c r="H681" s="64"/>
    </row>
    <row r="682" spans="1:8" x14ac:dyDescent="0.25">
      <c r="A682" s="65">
        <v>43370</v>
      </c>
      <c r="B682" s="66">
        <v>10977.55</v>
      </c>
      <c r="C682" s="66">
        <v>11079.8</v>
      </c>
      <c r="D682" s="66">
        <v>11089.45</v>
      </c>
      <c r="E682" s="66">
        <v>10953.35</v>
      </c>
      <c r="F682" s="67" t="s">
        <v>2029</v>
      </c>
      <c r="G682" s="68">
        <v>-6.8999999999999999E-3</v>
      </c>
      <c r="H682" s="64"/>
    </row>
    <row r="683" spans="1:8" x14ac:dyDescent="0.25">
      <c r="A683" s="65">
        <v>43371</v>
      </c>
      <c r="B683" s="66">
        <v>10930.45</v>
      </c>
      <c r="C683" s="66">
        <v>11008.1</v>
      </c>
      <c r="D683" s="66">
        <v>11034.1</v>
      </c>
      <c r="E683" s="66">
        <v>10850.3</v>
      </c>
      <c r="F683" s="67" t="s">
        <v>2028</v>
      </c>
      <c r="G683" s="68">
        <v>-4.3E-3</v>
      </c>
      <c r="H683" s="64"/>
    </row>
    <row r="684" spans="1:8" x14ac:dyDescent="0.25">
      <c r="A684" s="65">
        <v>43374</v>
      </c>
      <c r="B684" s="66">
        <v>11008.3</v>
      </c>
      <c r="C684" s="66">
        <v>10930.9</v>
      </c>
      <c r="D684" s="66">
        <v>11035.65</v>
      </c>
      <c r="E684" s="66">
        <v>10821.55</v>
      </c>
      <c r="F684" s="67" t="s">
        <v>2027</v>
      </c>
      <c r="G684" s="68">
        <v>7.1000000000000004E-3</v>
      </c>
      <c r="H684" s="64"/>
    </row>
    <row r="685" spans="1:8" x14ac:dyDescent="0.25">
      <c r="A685" s="65">
        <v>43376</v>
      </c>
      <c r="B685" s="66">
        <v>10858.25</v>
      </c>
      <c r="C685" s="66">
        <v>10982.7</v>
      </c>
      <c r="D685" s="66">
        <v>10989.05</v>
      </c>
      <c r="E685" s="66">
        <v>10843.75</v>
      </c>
      <c r="F685" s="67" t="s">
        <v>2026</v>
      </c>
      <c r="G685" s="68">
        <v>-1.3599999999999999E-2</v>
      </c>
      <c r="H685" s="64"/>
    </row>
    <row r="686" spans="1:8" x14ac:dyDescent="0.25">
      <c r="A686" s="65">
        <v>43377</v>
      </c>
      <c r="B686" s="66">
        <v>10599.25</v>
      </c>
      <c r="C686" s="66">
        <v>10754.7</v>
      </c>
      <c r="D686" s="66">
        <v>10754.7</v>
      </c>
      <c r="E686" s="66">
        <v>10547.25</v>
      </c>
      <c r="F686" s="67" t="s">
        <v>2025</v>
      </c>
      <c r="G686" s="68">
        <v>-2.3900000000000001E-2</v>
      </c>
      <c r="H686" s="64"/>
    </row>
    <row r="687" spans="1:8" x14ac:dyDescent="0.25">
      <c r="A687" s="65">
        <v>43378</v>
      </c>
      <c r="B687" s="66">
        <v>10316.450000000001</v>
      </c>
      <c r="C687" s="66">
        <v>10514.1</v>
      </c>
      <c r="D687" s="66">
        <v>10540.65</v>
      </c>
      <c r="E687" s="66">
        <v>10261.9</v>
      </c>
      <c r="F687" s="67" t="s">
        <v>2024</v>
      </c>
      <c r="G687" s="68">
        <v>-2.6700000000000002E-2</v>
      </c>
      <c r="H687" s="64"/>
    </row>
    <row r="688" spans="1:8" x14ac:dyDescent="0.25">
      <c r="A688" s="65">
        <v>43381</v>
      </c>
      <c r="B688" s="66">
        <v>10348.049999999999</v>
      </c>
      <c r="C688" s="66">
        <v>10310.15</v>
      </c>
      <c r="D688" s="66">
        <v>10398.35</v>
      </c>
      <c r="E688" s="66">
        <v>10198.4</v>
      </c>
      <c r="F688" s="67" t="s">
        <v>2023</v>
      </c>
      <c r="G688" s="68">
        <v>3.0999999999999999E-3</v>
      </c>
      <c r="H688" s="64"/>
    </row>
    <row r="689" spans="1:8" x14ac:dyDescent="0.25">
      <c r="A689" s="65">
        <v>43382</v>
      </c>
      <c r="B689" s="66">
        <v>10301.049999999999</v>
      </c>
      <c r="C689" s="66">
        <v>10390.299999999999</v>
      </c>
      <c r="D689" s="66">
        <v>10397.6</v>
      </c>
      <c r="E689" s="66">
        <v>10279.35</v>
      </c>
      <c r="F689" s="67" t="s">
        <v>2022</v>
      </c>
      <c r="G689" s="68">
        <v>-4.4999999999999997E-3</v>
      </c>
      <c r="H689" s="64"/>
    </row>
    <row r="690" spans="1:8" x14ac:dyDescent="0.25">
      <c r="A690" s="65">
        <v>43383</v>
      </c>
      <c r="B690" s="66">
        <v>10460.1</v>
      </c>
      <c r="C690" s="66">
        <v>10331.85</v>
      </c>
      <c r="D690" s="66">
        <v>10482.35</v>
      </c>
      <c r="E690" s="66">
        <v>10318.25</v>
      </c>
      <c r="F690" s="67" t="s">
        <v>2021</v>
      </c>
      <c r="G690" s="68">
        <v>1.54E-2</v>
      </c>
      <c r="H690" s="64"/>
    </row>
    <row r="691" spans="1:8" x14ac:dyDescent="0.25">
      <c r="A691" s="65">
        <v>43384</v>
      </c>
      <c r="B691" s="66">
        <v>10234.65</v>
      </c>
      <c r="C691" s="66">
        <v>10169.799999999999</v>
      </c>
      <c r="D691" s="66">
        <v>10335.950000000001</v>
      </c>
      <c r="E691" s="66">
        <v>10138.6</v>
      </c>
      <c r="F691" s="67" t="s">
        <v>2020</v>
      </c>
      <c r="G691" s="68">
        <v>-2.1600000000000001E-2</v>
      </c>
      <c r="H691" s="64"/>
    </row>
    <row r="692" spans="1:8" x14ac:dyDescent="0.25">
      <c r="A692" s="65">
        <v>43385</v>
      </c>
      <c r="B692" s="66">
        <v>10472.5</v>
      </c>
      <c r="C692" s="66">
        <v>10331.549999999999</v>
      </c>
      <c r="D692" s="66">
        <v>10492.45</v>
      </c>
      <c r="E692" s="66">
        <v>10322.15</v>
      </c>
      <c r="F692" s="67" t="s">
        <v>2019</v>
      </c>
      <c r="G692" s="68">
        <v>2.3199999999999998E-2</v>
      </c>
      <c r="H692" s="64"/>
    </row>
    <row r="693" spans="1:8" x14ac:dyDescent="0.25">
      <c r="A693" s="65">
        <v>43388</v>
      </c>
      <c r="B693" s="66">
        <v>10512.5</v>
      </c>
      <c r="C693" s="66">
        <v>10524.2</v>
      </c>
      <c r="D693" s="66">
        <v>10526.3</v>
      </c>
      <c r="E693" s="66">
        <v>10410.15</v>
      </c>
      <c r="F693" s="67" t="s">
        <v>2018</v>
      </c>
      <c r="G693" s="68">
        <v>3.8E-3</v>
      </c>
      <c r="H693" s="64"/>
    </row>
    <row r="694" spans="1:8" x14ac:dyDescent="0.25">
      <c r="A694" s="65">
        <v>43389</v>
      </c>
      <c r="B694" s="66">
        <v>10584.75</v>
      </c>
      <c r="C694" s="66">
        <v>10550.15</v>
      </c>
      <c r="D694" s="66">
        <v>10604.9</v>
      </c>
      <c r="E694" s="66">
        <v>10525.3</v>
      </c>
      <c r="F694" s="67" t="s">
        <v>2017</v>
      </c>
      <c r="G694" s="68">
        <v>6.8999999999999999E-3</v>
      </c>
      <c r="H694" s="64"/>
    </row>
    <row r="695" spans="1:8" x14ac:dyDescent="0.25">
      <c r="A695" s="65">
        <v>43390</v>
      </c>
      <c r="B695" s="66">
        <v>10453.049999999999</v>
      </c>
      <c r="C695" s="66">
        <v>10688.7</v>
      </c>
      <c r="D695" s="66">
        <v>10710.15</v>
      </c>
      <c r="E695" s="66">
        <v>10436.450000000001</v>
      </c>
      <c r="F695" s="67" t="s">
        <v>2016</v>
      </c>
      <c r="G695" s="68">
        <v>-1.24E-2</v>
      </c>
      <c r="H695" s="64"/>
    </row>
    <row r="696" spans="1:8" x14ac:dyDescent="0.25">
      <c r="A696" s="65">
        <v>43392</v>
      </c>
      <c r="B696" s="66">
        <v>10303.549999999999</v>
      </c>
      <c r="C696" s="66">
        <v>10339.700000000001</v>
      </c>
      <c r="D696" s="66">
        <v>10380.1</v>
      </c>
      <c r="E696" s="66">
        <v>10249.6</v>
      </c>
      <c r="F696" s="67" t="s">
        <v>2015</v>
      </c>
      <c r="G696" s="68">
        <v>-1.43E-2</v>
      </c>
      <c r="H696" s="64"/>
    </row>
    <row r="697" spans="1:8" x14ac:dyDescent="0.25">
      <c r="A697" s="65">
        <v>43395</v>
      </c>
      <c r="B697" s="66">
        <v>10245.25</v>
      </c>
      <c r="C697" s="66">
        <v>10405.85</v>
      </c>
      <c r="D697" s="66">
        <v>10408.549999999999</v>
      </c>
      <c r="E697" s="66">
        <v>10224</v>
      </c>
      <c r="F697" s="67" t="s">
        <v>2014</v>
      </c>
      <c r="G697" s="68">
        <v>-5.7000000000000002E-3</v>
      </c>
      <c r="H697" s="64"/>
    </row>
    <row r="698" spans="1:8" x14ac:dyDescent="0.25">
      <c r="A698" s="65">
        <v>43396</v>
      </c>
      <c r="B698" s="66">
        <v>10146.799999999999</v>
      </c>
      <c r="C698" s="66">
        <v>10152.6</v>
      </c>
      <c r="D698" s="66">
        <v>10222.1</v>
      </c>
      <c r="E698" s="66">
        <v>10102.35</v>
      </c>
      <c r="F698" s="67" t="s">
        <v>2013</v>
      </c>
      <c r="G698" s="68">
        <v>-9.5999999999999992E-3</v>
      </c>
      <c r="H698" s="64"/>
    </row>
    <row r="699" spans="1:8" x14ac:dyDescent="0.25">
      <c r="A699" s="65">
        <v>43397</v>
      </c>
      <c r="B699" s="66">
        <v>10224.75</v>
      </c>
      <c r="C699" s="66">
        <v>10278.15</v>
      </c>
      <c r="D699" s="66">
        <v>10290.65</v>
      </c>
      <c r="E699" s="66">
        <v>10126.700000000001</v>
      </c>
      <c r="F699" s="67" t="s">
        <v>2012</v>
      </c>
      <c r="G699" s="68">
        <v>7.7000000000000002E-3</v>
      </c>
      <c r="H699" s="64"/>
    </row>
    <row r="700" spans="1:8" x14ac:dyDescent="0.25">
      <c r="A700" s="65">
        <v>43398</v>
      </c>
      <c r="B700" s="66">
        <v>10124.9</v>
      </c>
      <c r="C700" s="66">
        <v>10135.049999999999</v>
      </c>
      <c r="D700" s="66">
        <v>10166.6</v>
      </c>
      <c r="E700" s="66">
        <v>10079.299999999999</v>
      </c>
      <c r="F700" s="67" t="s">
        <v>2011</v>
      </c>
      <c r="G700" s="68">
        <v>-9.7999999999999997E-3</v>
      </c>
      <c r="H700" s="64"/>
    </row>
    <row r="701" spans="1:8" x14ac:dyDescent="0.25">
      <c r="A701" s="65">
        <v>43399</v>
      </c>
      <c r="B701" s="66">
        <v>10030</v>
      </c>
      <c r="C701" s="66">
        <v>10122.35</v>
      </c>
      <c r="D701" s="66">
        <v>10128.85</v>
      </c>
      <c r="E701" s="66">
        <v>10004.549999999999</v>
      </c>
      <c r="F701" s="67" t="s">
        <v>2010</v>
      </c>
      <c r="G701" s="68">
        <v>-9.4000000000000004E-3</v>
      </c>
      <c r="H701" s="64"/>
    </row>
    <row r="702" spans="1:8" x14ac:dyDescent="0.25">
      <c r="A702" s="65">
        <v>43402</v>
      </c>
      <c r="B702" s="66">
        <v>10250.85</v>
      </c>
      <c r="C702" s="66">
        <v>10078.1</v>
      </c>
      <c r="D702" s="66">
        <v>10275.299999999999</v>
      </c>
      <c r="E702" s="66">
        <v>10020.35</v>
      </c>
      <c r="F702" s="67" t="s">
        <v>2009</v>
      </c>
      <c r="G702" s="68">
        <v>2.1999999999999999E-2</v>
      </c>
      <c r="H702" s="64"/>
    </row>
    <row r="703" spans="1:8" x14ac:dyDescent="0.25">
      <c r="A703" s="65">
        <v>43403</v>
      </c>
      <c r="B703" s="66">
        <v>10198.4</v>
      </c>
      <c r="C703" s="66">
        <v>10239.4</v>
      </c>
      <c r="D703" s="66">
        <v>10285.1</v>
      </c>
      <c r="E703" s="66">
        <v>10175.35</v>
      </c>
      <c r="F703" s="67" t="s">
        <v>2008</v>
      </c>
      <c r="G703" s="68">
        <v>-5.1000000000000004E-3</v>
      </c>
      <c r="H703" s="64"/>
    </row>
    <row r="704" spans="1:8" x14ac:dyDescent="0.25">
      <c r="A704" s="65">
        <v>43404</v>
      </c>
      <c r="B704" s="66">
        <v>10386.6</v>
      </c>
      <c r="C704" s="66">
        <v>10209.549999999999</v>
      </c>
      <c r="D704" s="66">
        <v>10396</v>
      </c>
      <c r="E704" s="66">
        <v>10105.1</v>
      </c>
      <c r="F704" s="67" t="s">
        <v>2007</v>
      </c>
      <c r="G704" s="68">
        <v>1.8499999999999999E-2</v>
      </c>
      <c r="H704" s="64"/>
    </row>
    <row r="705" spans="1:8" x14ac:dyDescent="0.25">
      <c r="A705" s="65">
        <v>43405</v>
      </c>
      <c r="B705" s="66">
        <v>10380.450000000001</v>
      </c>
      <c r="C705" s="66">
        <v>10441.700000000001</v>
      </c>
      <c r="D705" s="66">
        <v>10441.9</v>
      </c>
      <c r="E705" s="66">
        <v>10341.9</v>
      </c>
      <c r="F705" s="67" t="s">
        <v>2006</v>
      </c>
      <c r="G705" s="68">
        <v>-5.9999999999999995E-4</v>
      </c>
      <c r="H705" s="64"/>
    </row>
    <row r="706" spans="1:8" x14ac:dyDescent="0.25">
      <c r="A706" s="65">
        <v>43406</v>
      </c>
      <c r="B706" s="66">
        <v>10553</v>
      </c>
      <c r="C706" s="66">
        <v>10462.299999999999</v>
      </c>
      <c r="D706" s="66">
        <v>10606.95</v>
      </c>
      <c r="E706" s="66">
        <v>10457.700000000001</v>
      </c>
      <c r="F706" s="67" t="s">
        <v>2005</v>
      </c>
      <c r="G706" s="68">
        <v>1.66E-2</v>
      </c>
      <c r="H706" s="64"/>
    </row>
    <row r="707" spans="1:8" x14ac:dyDescent="0.25">
      <c r="A707" s="65">
        <v>43409</v>
      </c>
      <c r="B707" s="66">
        <v>10524</v>
      </c>
      <c r="C707" s="66">
        <v>10558.75</v>
      </c>
      <c r="D707" s="66">
        <v>10558.8</v>
      </c>
      <c r="E707" s="66">
        <v>10477</v>
      </c>
      <c r="F707" s="67" t="s">
        <v>2004</v>
      </c>
      <c r="G707" s="68">
        <v>-2.7000000000000001E-3</v>
      </c>
      <c r="H707" s="64"/>
    </row>
    <row r="708" spans="1:8" x14ac:dyDescent="0.25">
      <c r="A708" s="65">
        <v>43410</v>
      </c>
      <c r="B708" s="66">
        <v>10530</v>
      </c>
      <c r="C708" s="66">
        <v>10552</v>
      </c>
      <c r="D708" s="66">
        <v>10600.25</v>
      </c>
      <c r="E708" s="66">
        <v>10491.45</v>
      </c>
      <c r="F708" s="67" t="s">
        <v>2003</v>
      </c>
      <c r="G708" s="68">
        <v>5.9999999999999995E-4</v>
      </c>
      <c r="H708" s="64"/>
    </row>
    <row r="709" spans="1:8" x14ac:dyDescent="0.25">
      <c r="A709" s="65">
        <v>43411</v>
      </c>
      <c r="B709" s="66">
        <v>10598.85</v>
      </c>
      <c r="C709" s="66">
        <v>10614.45</v>
      </c>
      <c r="D709" s="66">
        <v>10616.45</v>
      </c>
      <c r="E709" s="66">
        <v>10591.8</v>
      </c>
      <c r="F709" s="67" t="s">
        <v>2002</v>
      </c>
      <c r="G709" s="68">
        <v>6.4999999999999997E-3</v>
      </c>
      <c r="H709" s="64"/>
    </row>
    <row r="710" spans="1:8" x14ac:dyDescent="0.25">
      <c r="A710" s="65">
        <v>43413</v>
      </c>
      <c r="B710" s="66">
        <v>10585.2</v>
      </c>
      <c r="C710" s="66">
        <v>10614.7</v>
      </c>
      <c r="D710" s="66">
        <v>10619.55</v>
      </c>
      <c r="E710" s="66">
        <v>10544.85</v>
      </c>
      <c r="F710" s="67" t="s">
        <v>2001</v>
      </c>
      <c r="G710" s="68">
        <v>-1.2999999999999999E-3</v>
      </c>
      <c r="H710" s="64"/>
    </row>
    <row r="711" spans="1:8" x14ac:dyDescent="0.25">
      <c r="A711" s="65">
        <v>43416</v>
      </c>
      <c r="B711" s="66">
        <v>10482.200000000001</v>
      </c>
      <c r="C711" s="66">
        <v>10607.8</v>
      </c>
      <c r="D711" s="66">
        <v>10645.5</v>
      </c>
      <c r="E711" s="66">
        <v>10464.049999999999</v>
      </c>
      <c r="F711" s="67" t="s">
        <v>119</v>
      </c>
      <c r="G711" s="68">
        <v>-9.7000000000000003E-3</v>
      </c>
      <c r="H711" s="64"/>
    </row>
    <row r="712" spans="1:8" x14ac:dyDescent="0.25">
      <c r="A712" s="65">
        <v>43417</v>
      </c>
      <c r="B712" s="66">
        <v>10582.5</v>
      </c>
      <c r="C712" s="66">
        <v>10451.9</v>
      </c>
      <c r="D712" s="66">
        <v>10596.25</v>
      </c>
      <c r="E712" s="66">
        <v>10440.549999999999</v>
      </c>
      <c r="F712" s="67" t="s">
        <v>2000</v>
      </c>
      <c r="G712" s="68">
        <v>9.5999999999999992E-3</v>
      </c>
      <c r="H712" s="64"/>
    </row>
    <row r="713" spans="1:8" x14ac:dyDescent="0.25">
      <c r="A713" s="65">
        <v>43418</v>
      </c>
      <c r="B713" s="66">
        <v>10576.3</v>
      </c>
      <c r="C713" s="66">
        <v>10634.9</v>
      </c>
      <c r="D713" s="66">
        <v>10651.6</v>
      </c>
      <c r="E713" s="66">
        <v>10532.7</v>
      </c>
      <c r="F713" s="67" t="s">
        <v>1999</v>
      </c>
      <c r="G713" s="68">
        <v>-5.9999999999999995E-4</v>
      </c>
      <c r="H713" s="64"/>
    </row>
    <row r="714" spans="1:8" x14ac:dyDescent="0.25">
      <c r="A714" s="65">
        <v>43419</v>
      </c>
      <c r="B714" s="66">
        <v>10616.7</v>
      </c>
      <c r="C714" s="66">
        <v>10580.6</v>
      </c>
      <c r="D714" s="66">
        <v>10646.5</v>
      </c>
      <c r="E714" s="66">
        <v>10557.5</v>
      </c>
      <c r="F714" s="67" t="s">
        <v>1998</v>
      </c>
      <c r="G714" s="68">
        <v>3.8E-3</v>
      </c>
      <c r="H714" s="64"/>
    </row>
    <row r="715" spans="1:8" x14ac:dyDescent="0.25">
      <c r="A715" s="65">
        <v>43420</v>
      </c>
      <c r="B715" s="66">
        <v>10682.2</v>
      </c>
      <c r="C715" s="66">
        <v>10644</v>
      </c>
      <c r="D715" s="66">
        <v>10695.15</v>
      </c>
      <c r="E715" s="66">
        <v>10631.15</v>
      </c>
      <c r="F715" s="67" t="s">
        <v>1997</v>
      </c>
      <c r="G715" s="68">
        <v>6.1999999999999998E-3</v>
      </c>
      <c r="H715" s="64"/>
    </row>
    <row r="716" spans="1:8" x14ac:dyDescent="0.25">
      <c r="A716" s="65">
        <v>43423</v>
      </c>
      <c r="B716" s="66">
        <v>10763.4</v>
      </c>
      <c r="C716" s="66">
        <v>10731.25</v>
      </c>
      <c r="D716" s="66">
        <v>10774.7</v>
      </c>
      <c r="E716" s="66">
        <v>10688.8</v>
      </c>
      <c r="F716" s="67" t="s">
        <v>1996</v>
      </c>
      <c r="G716" s="68">
        <v>7.6E-3</v>
      </c>
      <c r="H716" s="64"/>
    </row>
    <row r="717" spans="1:8" x14ac:dyDescent="0.25">
      <c r="A717" s="65">
        <v>43424</v>
      </c>
      <c r="B717" s="66">
        <v>10656.2</v>
      </c>
      <c r="C717" s="66">
        <v>10740.1</v>
      </c>
      <c r="D717" s="66">
        <v>10740.85</v>
      </c>
      <c r="E717" s="66">
        <v>10640.85</v>
      </c>
      <c r="F717" s="67" t="s">
        <v>1995</v>
      </c>
      <c r="G717" s="68">
        <v>-0.01</v>
      </c>
      <c r="H717" s="64"/>
    </row>
    <row r="718" spans="1:8" x14ac:dyDescent="0.25">
      <c r="A718" s="65">
        <v>43425</v>
      </c>
      <c r="B718" s="66">
        <v>10600.05</v>
      </c>
      <c r="C718" s="66">
        <v>10670.95</v>
      </c>
      <c r="D718" s="66">
        <v>10671.3</v>
      </c>
      <c r="E718" s="66">
        <v>10562.35</v>
      </c>
      <c r="F718" s="67" t="s">
        <v>1994</v>
      </c>
      <c r="G718" s="68">
        <v>-5.3E-3</v>
      </c>
      <c r="H718" s="64"/>
    </row>
    <row r="719" spans="1:8" x14ac:dyDescent="0.25">
      <c r="A719" s="65">
        <v>43426</v>
      </c>
      <c r="B719" s="66">
        <v>10526.75</v>
      </c>
      <c r="C719" s="66">
        <v>10612.65</v>
      </c>
      <c r="D719" s="66">
        <v>10646.25</v>
      </c>
      <c r="E719" s="66">
        <v>10512</v>
      </c>
      <c r="F719" s="67" t="s">
        <v>1993</v>
      </c>
      <c r="G719" s="68">
        <v>-6.8999999999999999E-3</v>
      </c>
      <c r="H719" s="64"/>
    </row>
    <row r="720" spans="1:8" x14ac:dyDescent="0.25">
      <c r="A720" s="65">
        <v>43430</v>
      </c>
      <c r="B720" s="66">
        <v>10628.6</v>
      </c>
      <c r="C720" s="66">
        <v>10568.3</v>
      </c>
      <c r="D720" s="66">
        <v>10637.8</v>
      </c>
      <c r="E720" s="66">
        <v>10489.75</v>
      </c>
      <c r="F720" s="67" t="s">
        <v>1992</v>
      </c>
      <c r="G720" s="68">
        <v>9.7000000000000003E-3</v>
      </c>
      <c r="H720" s="64"/>
    </row>
    <row r="721" spans="1:8" x14ac:dyDescent="0.25">
      <c r="A721" s="65">
        <v>43431</v>
      </c>
      <c r="B721" s="66">
        <v>10685.6</v>
      </c>
      <c r="C721" s="66">
        <v>10621.45</v>
      </c>
      <c r="D721" s="66">
        <v>10695.15</v>
      </c>
      <c r="E721" s="66">
        <v>10596.35</v>
      </c>
      <c r="F721" s="67" t="s">
        <v>1991</v>
      </c>
      <c r="G721" s="68">
        <v>5.4000000000000003E-3</v>
      </c>
      <c r="H721" s="64"/>
    </row>
    <row r="722" spans="1:8" x14ac:dyDescent="0.25">
      <c r="A722" s="65">
        <v>43432</v>
      </c>
      <c r="B722" s="66">
        <v>10728.85</v>
      </c>
      <c r="C722" s="66">
        <v>10708.75</v>
      </c>
      <c r="D722" s="66">
        <v>10757.8</v>
      </c>
      <c r="E722" s="66">
        <v>10699.85</v>
      </c>
      <c r="F722" s="67" t="s">
        <v>1990</v>
      </c>
      <c r="G722" s="68">
        <v>4.0000000000000001E-3</v>
      </c>
      <c r="H722" s="64"/>
    </row>
    <row r="723" spans="1:8" x14ac:dyDescent="0.25">
      <c r="A723" s="65">
        <v>43433</v>
      </c>
      <c r="B723" s="66">
        <v>10858.7</v>
      </c>
      <c r="C723" s="66">
        <v>10808.7</v>
      </c>
      <c r="D723" s="66">
        <v>10883.05</v>
      </c>
      <c r="E723" s="66">
        <v>10782.35</v>
      </c>
      <c r="F723" s="67" t="s">
        <v>1989</v>
      </c>
      <c r="G723" s="68">
        <v>1.21E-2</v>
      </c>
      <c r="H723" s="64"/>
    </row>
    <row r="724" spans="1:8" x14ac:dyDescent="0.25">
      <c r="A724" s="65">
        <v>43434</v>
      </c>
      <c r="B724" s="66">
        <v>10876.75</v>
      </c>
      <c r="C724" s="66">
        <v>10892.1</v>
      </c>
      <c r="D724" s="66">
        <v>10922.45</v>
      </c>
      <c r="E724" s="66">
        <v>10835.1</v>
      </c>
      <c r="F724" s="67" t="s">
        <v>1988</v>
      </c>
      <c r="G724" s="68">
        <v>1.6999999999999999E-3</v>
      </c>
      <c r="H724" s="64"/>
    </row>
    <row r="725" spans="1:8" x14ac:dyDescent="0.25">
      <c r="A725" s="65">
        <v>43437</v>
      </c>
      <c r="B725" s="66">
        <v>10883.75</v>
      </c>
      <c r="C725" s="66">
        <v>10930.7</v>
      </c>
      <c r="D725" s="66">
        <v>10941.2</v>
      </c>
      <c r="E725" s="66">
        <v>10845.35</v>
      </c>
      <c r="F725" s="67" t="s">
        <v>1987</v>
      </c>
      <c r="G725" s="68">
        <v>5.9999999999999995E-4</v>
      </c>
      <c r="H725" s="64"/>
    </row>
    <row r="726" spans="1:8" x14ac:dyDescent="0.25">
      <c r="A726" s="65">
        <v>43438</v>
      </c>
      <c r="B726" s="66">
        <v>10869.5</v>
      </c>
      <c r="C726" s="66">
        <v>10877.1</v>
      </c>
      <c r="D726" s="66">
        <v>10890.95</v>
      </c>
      <c r="E726" s="66">
        <v>10833.35</v>
      </c>
      <c r="F726" s="67" t="s">
        <v>1986</v>
      </c>
      <c r="G726" s="68">
        <v>-1.2999999999999999E-3</v>
      </c>
      <c r="H726" s="64"/>
    </row>
    <row r="727" spans="1:8" x14ac:dyDescent="0.25">
      <c r="A727" s="65">
        <v>43439</v>
      </c>
      <c r="B727" s="66">
        <v>10782.9</v>
      </c>
      <c r="C727" s="66">
        <v>10820.45</v>
      </c>
      <c r="D727" s="66">
        <v>10821.05</v>
      </c>
      <c r="E727" s="66">
        <v>10747.95</v>
      </c>
      <c r="F727" s="67" t="s">
        <v>1985</v>
      </c>
      <c r="G727" s="68">
        <v>-8.0000000000000002E-3</v>
      </c>
      <c r="H727" s="64"/>
    </row>
    <row r="728" spans="1:8" x14ac:dyDescent="0.25">
      <c r="A728" s="65">
        <v>43440</v>
      </c>
      <c r="B728" s="66">
        <v>10601.15</v>
      </c>
      <c r="C728" s="66">
        <v>10718.15</v>
      </c>
      <c r="D728" s="66">
        <v>10722.65</v>
      </c>
      <c r="E728" s="66">
        <v>10588.25</v>
      </c>
      <c r="F728" s="67" t="s">
        <v>1984</v>
      </c>
      <c r="G728" s="68">
        <v>-1.6899999999999998E-2</v>
      </c>
      <c r="H728" s="64"/>
    </row>
    <row r="729" spans="1:8" x14ac:dyDescent="0.25">
      <c r="A729" s="65">
        <v>43441</v>
      </c>
      <c r="B729" s="66">
        <v>10693.7</v>
      </c>
      <c r="C729" s="66">
        <v>10644.8</v>
      </c>
      <c r="D729" s="66">
        <v>10704.55</v>
      </c>
      <c r="E729" s="66">
        <v>10599.35</v>
      </c>
      <c r="F729" s="67" t="s">
        <v>1983</v>
      </c>
      <c r="G729" s="68">
        <v>8.6999999999999994E-3</v>
      </c>
      <c r="H729" s="64"/>
    </row>
    <row r="730" spans="1:8" x14ac:dyDescent="0.25">
      <c r="A730" s="65">
        <v>43444</v>
      </c>
      <c r="B730" s="66">
        <v>10488.45</v>
      </c>
      <c r="C730" s="66">
        <v>10508.7</v>
      </c>
      <c r="D730" s="66">
        <v>10558.85</v>
      </c>
      <c r="E730" s="66">
        <v>10474.950000000001</v>
      </c>
      <c r="F730" s="67" t="s">
        <v>1982</v>
      </c>
      <c r="G730" s="68">
        <v>-1.9199999999999998E-2</v>
      </c>
      <c r="H730" s="64"/>
    </row>
    <row r="731" spans="1:8" x14ac:dyDescent="0.25">
      <c r="A731" s="65">
        <v>43445</v>
      </c>
      <c r="B731" s="66">
        <v>10549.15</v>
      </c>
      <c r="C731" s="66">
        <v>10350.049999999999</v>
      </c>
      <c r="D731" s="66">
        <v>10567.15</v>
      </c>
      <c r="E731" s="66">
        <v>10333.85</v>
      </c>
      <c r="F731" s="67" t="s">
        <v>1981</v>
      </c>
      <c r="G731" s="68">
        <v>5.7999999999999996E-3</v>
      </c>
      <c r="H731" s="64"/>
    </row>
    <row r="732" spans="1:8" x14ac:dyDescent="0.25">
      <c r="A732" s="65">
        <v>43446</v>
      </c>
      <c r="B732" s="66">
        <v>10737.6</v>
      </c>
      <c r="C732" s="66">
        <v>10591</v>
      </c>
      <c r="D732" s="66">
        <v>10752.2</v>
      </c>
      <c r="E732" s="66">
        <v>10560.8</v>
      </c>
      <c r="F732" s="67" t="s">
        <v>1980</v>
      </c>
      <c r="G732" s="68">
        <v>1.7899999999999999E-2</v>
      </c>
      <c r="H732" s="64"/>
    </row>
    <row r="733" spans="1:8" x14ac:dyDescent="0.25">
      <c r="A733" s="65">
        <v>43447</v>
      </c>
      <c r="B733" s="66">
        <v>10791.55</v>
      </c>
      <c r="C733" s="66">
        <v>10810.75</v>
      </c>
      <c r="D733" s="66">
        <v>10838.6</v>
      </c>
      <c r="E733" s="66">
        <v>10749.5</v>
      </c>
      <c r="F733" s="67" t="s">
        <v>1979</v>
      </c>
      <c r="G733" s="68">
        <v>5.0000000000000001E-3</v>
      </c>
      <c r="H733" s="64"/>
    </row>
    <row r="734" spans="1:8" x14ac:dyDescent="0.25">
      <c r="A734" s="65">
        <v>43448</v>
      </c>
      <c r="B734" s="66">
        <v>10805.45</v>
      </c>
      <c r="C734" s="66">
        <v>10784.5</v>
      </c>
      <c r="D734" s="66">
        <v>10815.75</v>
      </c>
      <c r="E734" s="66">
        <v>10752.1</v>
      </c>
      <c r="F734" s="67" t="s">
        <v>1978</v>
      </c>
      <c r="G734" s="68">
        <v>1.2999999999999999E-3</v>
      </c>
      <c r="H734" s="64"/>
    </row>
    <row r="735" spans="1:8" x14ac:dyDescent="0.25">
      <c r="A735" s="65">
        <v>43451</v>
      </c>
      <c r="B735" s="66">
        <v>10888.35</v>
      </c>
      <c r="C735" s="66">
        <v>10853.2</v>
      </c>
      <c r="D735" s="66">
        <v>10900.35</v>
      </c>
      <c r="E735" s="66">
        <v>10844.85</v>
      </c>
      <c r="F735" s="67" t="s">
        <v>1977</v>
      </c>
      <c r="G735" s="68">
        <v>7.7000000000000002E-3</v>
      </c>
      <c r="H735" s="64"/>
    </row>
    <row r="736" spans="1:8" x14ac:dyDescent="0.25">
      <c r="A736" s="65">
        <v>43452</v>
      </c>
      <c r="B736" s="66">
        <v>10908.7</v>
      </c>
      <c r="C736" s="66">
        <v>10850.9</v>
      </c>
      <c r="D736" s="66">
        <v>10915.4</v>
      </c>
      <c r="E736" s="66">
        <v>10819.1</v>
      </c>
      <c r="F736" s="67" t="s">
        <v>1976</v>
      </c>
      <c r="G736" s="68">
        <v>1.9E-3</v>
      </c>
      <c r="H736" s="64"/>
    </row>
    <row r="737" spans="1:8" x14ac:dyDescent="0.25">
      <c r="A737" s="65">
        <v>43453</v>
      </c>
      <c r="B737" s="66">
        <v>10967.3</v>
      </c>
      <c r="C737" s="66">
        <v>10930.55</v>
      </c>
      <c r="D737" s="66">
        <v>10985.15</v>
      </c>
      <c r="E737" s="66">
        <v>10928</v>
      </c>
      <c r="F737" s="67" t="s">
        <v>1975</v>
      </c>
      <c r="G737" s="68">
        <v>5.4000000000000003E-3</v>
      </c>
      <c r="H737" s="64"/>
    </row>
    <row r="738" spans="1:8" x14ac:dyDescent="0.25">
      <c r="A738" s="65">
        <v>43454</v>
      </c>
      <c r="B738" s="66">
        <v>10951.7</v>
      </c>
      <c r="C738" s="66">
        <v>10885.2</v>
      </c>
      <c r="D738" s="66">
        <v>10962.55</v>
      </c>
      <c r="E738" s="66">
        <v>10880.05</v>
      </c>
      <c r="F738" s="67" t="s">
        <v>1974</v>
      </c>
      <c r="G738" s="68">
        <v>-1.4E-3</v>
      </c>
      <c r="H738" s="64"/>
    </row>
    <row r="739" spans="1:8" x14ac:dyDescent="0.25">
      <c r="A739" s="65">
        <v>43455</v>
      </c>
      <c r="B739" s="66">
        <v>10754</v>
      </c>
      <c r="C739" s="66">
        <v>10944.25</v>
      </c>
      <c r="D739" s="66">
        <v>10963.65</v>
      </c>
      <c r="E739" s="66">
        <v>10738.65</v>
      </c>
      <c r="F739" s="67" t="s">
        <v>1973</v>
      </c>
      <c r="G739" s="68">
        <v>-1.8100000000000002E-2</v>
      </c>
      <c r="H739" s="64"/>
    </row>
    <row r="740" spans="1:8" x14ac:dyDescent="0.25">
      <c r="A740" s="65">
        <v>43458</v>
      </c>
      <c r="B740" s="66">
        <v>10663.5</v>
      </c>
      <c r="C740" s="66">
        <v>10780.9</v>
      </c>
      <c r="D740" s="66">
        <v>10782.3</v>
      </c>
      <c r="E740" s="66">
        <v>10649.25</v>
      </c>
      <c r="F740" s="67" t="s">
        <v>1972</v>
      </c>
      <c r="G740" s="68">
        <v>-8.3999999999999995E-3</v>
      </c>
      <c r="H740" s="64"/>
    </row>
    <row r="741" spans="1:8" x14ac:dyDescent="0.25">
      <c r="A741" s="65">
        <v>43460</v>
      </c>
      <c r="B741" s="66">
        <v>10729.85</v>
      </c>
      <c r="C741" s="66">
        <v>10635.45</v>
      </c>
      <c r="D741" s="66">
        <v>10747.5</v>
      </c>
      <c r="E741" s="66">
        <v>10534.55</v>
      </c>
      <c r="F741" s="67" t="s">
        <v>1971</v>
      </c>
      <c r="G741" s="68">
        <v>6.1999999999999998E-3</v>
      </c>
      <c r="H741" s="64"/>
    </row>
    <row r="742" spans="1:8" x14ac:dyDescent="0.25">
      <c r="A742" s="65">
        <v>43461</v>
      </c>
      <c r="B742" s="66">
        <v>10779.8</v>
      </c>
      <c r="C742" s="66">
        <v>10817.9</v>
      </c>
      <c r="D742" s="66">
        <v>10834.2</v>
      </c>
      <c r="E742" s="66">
        <v>10764.45</v>
      </c>
      <c r="F742" s="67" t="s">
        <v>1970</v>
      </c>
      <c r="G742" s="68">
        <v>4.7000000000000002E-3</v>
      </c>
      <c r="H742" s="64"/>
    </row>
    <row r="743" spans="1:8" x14ac:dyDescent="0.25">
      <c r="A743" s="65">
        <v>43462</v>
      </c>
      <c r="B743" s="66">
        <v>10859.9</v>
      </c>
      <c r="C743" s="66">
        <v>10820.95</v>
      </c>
      <c r="D743" s="66">
        <v>10893.6</v>
      </c>
      <c r="E743" s="66">
        <v>10817.15</v>
      </c>
      <c r="F743" s="67" t="s">
        <v>1969</v>
      </c>
      <c r="G743" s="68">
        <v>7.4000000000000003E-3</v>
      </c>
      <c r="H743" s="64"/>
    </row>
    <row r="744" spans="1:8" x14ac:dyDescent="0.25">
      <c r="A744" s="65">
        <v>43465</v>
      </c>
      <c r="B744" s="66">
        <v>10862.55</v>
      </c>
      <c r="C744" s="66">
        <v>10913.2</v>
      </c>
      <c r="D744" s="66">
        <v>10923.55</v>
      </c>
      <c r="E744" s="66">
        <v>10853.2</v>
      </c>
      <c r="F744" s="67" t="s">
        <v>1968</v>
      </c>
      <c r="G744" s="68">
        <v>2.0000000000000001E-4</v>
      </c>
      <c r="H744" s="64"/>
    </row>
    <row r="745" spans="1:8" x14ac:dyDescent="0.25">
      <c r="A745" s="65">
        <v>43466</v>
      </c>
      <c r="B745" s="66">
        <v>10910.1</v>
      </c>
      <c r="C745" s="66">
        <v>10881.7</v>
      </c>
      <c r="D745" s="66">
        <v>10923.6</v>
      </c>
      <c r="E745" s="66">
        <v>10807.1</v>
      </c>
      <c r="F745" s="67" t="s">
        <v>1967</v>
      </c>
      <c r="G745" s="68">
        <v>4.4000000000000003E-3</v>
      </c>
      <c r="H745" s="64"/>
    </row>
    <row r="746" spans="1:8" x14ac:dyDescent="0.25">
      <c r="A746" s="65">
        <v>43467</v>
      </c>
      <c r="B746" s="66">
        <v>10792.5</v>
      </c>
      <c r="C746" s="66">
        <v>10868.85</v>
      </c>
      <c r="D746" s="66">
        <v>10895.35</v>
      </c>
      <c r="E746" s="66">
        <v>10735.05</v>
      </c>
      <c r="F746" s="67" t="s">
        <v>1966</v>
      </c>
      <c r="G746" s="68">
        <v>-1.0800000000000001E-2</v>
      </c>
      <c r="H746" s="64"/>
    </row>
    <row r="747" spans="1:8" x14ac:dyDescent="0.25">
      <c r="A747" s="65">
        <v>43468</v>
      </c>
      <c r="B747" s="66">
        <v>10672.25</v>
      </c>
      <c r="C747" s="66">
        <v>10796.8</v>
      </c>
      <c r="D747" s="66">
        <v>10814.05</v>
      </c>
      <c r="E747" s="66">
        <v>10661.25</v>
      </c>
      <c r="F747" s="67" t="s">
        <v>1965</v>
      </c>
      <c r="G747" s="68">
        <v>-1.11E-2</v>
      </c>
      <c r="H747" s="64"/>
    </row>
    <row r="748" spans="1:8" x14ac:dyDescent="0.25">
      <c r="A748" s="65">
        <v>43469</v>
      </c>
      <c r="B748" s="66">
        <v>10727.35</v>
      </c>
      <c r="C748" s="66">
        <v>10699.7</v>
      </c>
      <c r="D748" s="66">
        <v>10741.05</v>
      </c>
      <c r="E748" s="66">
        <v>10628.65</v>
      </c>
      <c r="F748" s="67" t="s">
        <v>1964</v>
      </c>
      <c r="G748" s="68">
        <v>5.1999999999999998E-3</v>
      </c>
      <c r="H748" s="64"/>
    </row>
    <row r="749" spans="1:8" x14ac:dyDescent="0.25">
      <c r="A749" s="65">
        <v>43472</v>
      </c>
      <c r="B749" s="66">
        <v>10771.8</v>
      </c>
      <c r="C749" s="66">
        <v>10804.85</v>
      </c>
      <c r="D749" s="66">
        <v>10835.95</v>
      </c>
      <c r="E749" s="66">
        <v>10750.15</v>
      </c>
      <c r="F749" s="67" t="s">
        <v>1963</v>
      </c>
      <c r="G749" s="68">
        <v>4.1000000000000003E-3</v>
      </c>
      <c r="H749" s="64"/>
    </row>
    <row r="750" spans="1:8" x14ac:dyDescent="0.25">
      <c r="A750" s="65">
        <v>43473</v>
      </c>
      <c r="B750" s="66">
        <v>10802.15</v>
      </c>
      <c r="C750" s="66">
        <v>10786.25</v>
      </c>
      <c r="D750" s="66">
        <v>10818.45</v>
      </c>
      <c r="E750" s="66">
        <v>10733.25</v>
      </c>
      <c r="F750" s="67" t="s">
        <v>1046</v>
      </c>
      <c r="G750" s="68">
        <v>2.8E-3</v>
      </c>
      <c r="H750" s="64"/>
    </row>
    <row r="751" spans="1:8" x14ac:dyDescent="0.25">
      <c r="A751" s="65">
        <v>43474</v>
      </c>
      <c r="B751" s="66">
        <v>10855.15</v>
      </c>
      <c r="C751" s="66">
        <v>10862.4</v>
      </c>
      <c r="D751" s="66">
        <v>10870.4</v>
      </c>
      <c r="E751" s="66">
        <v>10749.4</v>
      </c>
      <c r="F751" s="67" t="s">
        <v>1962</v>
      </c>
      <c r="G751" s="68">
        <v>4.8999999999999998E-3</v>
      </c>
      <c r="H751" s="64"/>
    </row>
    <row r="752" spans="1:8" x14ac:dyDescent="0.25">
      <c r="A752" s="65">
        <v>43475</v>
      </c>
      <c r="B752" s="66">
        <v>10821.6</v>
      </c>
      <c r="C752" s="66">
        <v>10859.35</v>
      </c>
      <c r="D752" s="66">
        <v>10859.35</v>
      </c>
      <c r="E752" s="66">
        <v>10801.8</v>
      </c>
      <c r="F752" s="67" t="s">
        <v>1961</v>
      </c>
      <c r="G752" s="68">
        <v>-3.0999999999999999E-3</v>
      </c>
      <c r="H752" s="64"/>
    </row>
    <row r="753" spans="1:8" x14ac:dyDescent="0.25">
      <c r="A753" s="65">
        <v>43476</v>
      </c>
      <c r="B753" s="66">
        <v>10794.95</v>
      </c>
      <c r="C753" s="66">
        <v>10834.75</v>
      </c>
      <c r="D753" s="66">
        <v>10850.15</v>
      </c>
      <c r="E753" s="66">
        <v>10739.4</v>
      </c>
      <c r="F753" s="67" t="s">
        <v>1960</v>
      </c>
      <c r="G753" s="68">
        <v>-2.5000000000000001E-3</v>
      </c>
      <c r="H753" s="64"/>
    </row>
    <row r="754" spans="1:8" x14ac:dyDescent="0.25">
      <c r="A754" s="65">
        <v>43479</v>
      </c>
      <c r="B754" s="66">
        <v>10737.6</v>
      </c>
      <c r="C754" s="66">
        <v>10807</v>
      </c>
      <c r="D754" s="66">
        <v>10808</v>
      </c>
      <c r="E754" s="66">
        <v>10692.35</v>
      </c>
      <c r="F754" s="67" t="s">
        <v>1959</v>
      </c>
      <c r="G754" s="68">
        <v>-5.3E-3</v>
      </c>
      <c r="H754" s="64"/>
    </row>
    <row r="755" spans="1:8" x14ac:dyDescent="0.25">
      <c r="A755" s="65">
        <v>43480</v>
      </c>
      <c r="B755" s="66">
        <v>10886.8</v>
      </c>
      <c r="C755" s="66">
        <v>10777.55</v>
      </c>
      <c r="D755" s="66">
        <v>10896.95</v>
      </c>
      <c r="E755" s="66">
        <v>10777.55</v>
      </c>
      <c r="F755" s="67" t="s">
        <v>1958</v>
      </c>
      <c r="G755" s="68">
        <v>1.3899999999999999E-2</v>
      </c>
      <c r="H755" s="64"/>
    </row>
    <row r="756" spans="1:8" x14ac:dyDescent="0.25">
      <c r="A756" s="65">
        <v>43481</v>
      </c>
      <c r="B756" s="66">
        <v>10890.3</v>
      </c>
      <c r="C756" s="66">
        <v>10899.65</v>
      </c>
      <c r="D756" s="66">
        <v>10928.15</v>
      </c>
      <c r="E756" s="66">
        <v>10876.9</v>
      </c>
      <c r="F756" s="67" t="s">
        <v>1957</v>
      </c>
      <c r="G756" s="68">
        <v>2.9999999999999997E-4</v>
      </c>
      <c r="H756" s="64"/>
    </row>
    <row r="757" spans="1:8" x14ac:dyDescent="0.25">
      <c r="A757" s="65">
        <v>43482</v>
      </c>
      <c r="B757" s="66">
        <v>10905.2</v>
      </c>
      <c r="C757" s="66">
        <v>10920.85</v>
      </c>
      <c r="D757" s="66">
        <v>10930.65</v>
      </c>
      <c r="E757" s="66">
        <v>10844.65</v>
      </c>
      <c r="F757" s="67" t="s">
        <v>1956</v>
      </c>
      <c r="G757" s="68">
        <v>1.4E-3</v>
      </c>
      <c r="H757" s="64"/>
    </row>
    <row r="758" spans="1:8" x14ac:dyDescent="0.25">
      <c r="A758" s="65">
        <v>43483</v>
      </c>
      <c r="B758" s="66">
        <v>10906.95</v>
      </c>
      <c r="C758" s="66">
        <v>10914.85</v>
      </c>
      <c r="D758" s="66">
        <v>10928.2</v>
      </c>
      <c r="E758" s="66">
        <v>10852.2</v>
      </c>
      <c r="F758" s="67" t="s">
        <v>1955</v>
      </c>
      <c r="G758" s="68">
        <v>2.0000000000000001E-4</v>
      </c>
      <c r="H758" s="64"/>
    </row>
    <row r="759" spans="1:8" x14ac:dyDescent="0.25">
      <c r="A759" s="65">
        <v>43486</v>
      </c>
      <c r="B759" s="66">
        <v>10961.85</v>
      </c>
      <c r="C759" s="66">
        <v>10919.35</v>
      </c>
      <c r="D759" s="66">
        <v>10987.45</v>
      </c>
      <c r="E759" s="66">
        <v>10885.75</v>
      </c>
      <c r="F759" s="67" t="s">
        <v>1954</v>
      </c>
      <c r="G759" s="68">
        <v>5.0000000000000001E-3</v>
      </c>
      <c r="H759" s="64"/>
    </row>
    <row r="760" spans="1:8" x14ac:dyDescent="0.25">
      <c r="A760" s="65">
        <v>43487</v>
      </c>
      <c r="B760" s="66">
        <v>10922.75</v>
      </c>
      <c r="C760" s="66">
        <v>10949.8</v>
      </c>
      <c r="D760" s="66">
        <v>10949.8</v>
      </c>
      <c r="E760" s="66">
        <v>10864.15</v>
      </c>
      <c r="F760" s="67" t="s">
        <v>1953</v>
      </c>
      <c r="G760" s="68">
        <v>-3.5999999999999999E-3</v>
      </c>
      <c r="H760" s="64"/>
    </row>
    <row r="761" spans="1:8" x14ac:dyDescent="0.25">
      <c r="A761" s="65">
        <v>43488</v>
      </c>
      <c r="B761" s="66">
        <v>10831.5</v>
      </c>
      <c r="C761" s="66">
        <v>10931.05</v>
      </c>
      <c r="D761" s="66">
        <v>10944.8</v>
      </c>
      <c r="E761" s="66">
        <v>10811.95</v>
      </c>
      <c r="F761" s="67" t="s">
        <v>1952</v>
      </c>
      <c r="G761" s="68">
        <v>-8.3999999999999995E-3</v>
      </c>
      <c r="H761" s="64"/>
    </row>
    <row r="762" spans="1:8" x14ac:dyDescent="0.25">
      <c r="A762" s="65">
        <v>43489</v>
      </c>
      <c r="B762" s="66">
        <v>10849.8</v>
      </c>
      <c r="C762" s="66">
        <v>10844.05</v>
      </c>
      <c r="D762" s="66">
        <v>10866.6</v>
      </c>
      <c r="E762" s="66">
        <v>10798.65</v>
      </c>
      <c r="F762" s="67" t="s">
        <v>1951</v>
      </c>
      <c r="G762" s="68">
        <v>1.6999999999999999E-3</v>
      </c>
      <c r="H762" s="64"/>
    </row>
    <row r="763" spans="1:8" x14ac:dyDescent="0.25">
      <c r="A763" s="65">
        <v>43490</v>
      </c>
      <c r="B763" s="66">
        <v>10780.55</v>
      </c>
      <c r="C763" s="66">
        <v>10859.75</v>
      </c>
      <c r="D763" s="66">
        <v>10931.7</v>
      </c>
      <c r="E763" s="66">
        <v>10756.45</v>
      </c>
      <c r="F763" s="67" t="s">
        <v>1950</v>
      </c>
      <c r="G763" s="68">
        <v>-6.4000000000000003E-3</v>
      </c>
      <c r="H763" s="64"/>
    </row>
    <row r="764" spans="1:8" x14ac:dyDescent="0.25">
      <c r="A764" s="65">
        <v>43493</v>
      </c>
      <c r="B764" s="66">
        <v>10661.55</v>
      </c>
      <c r="C764" s="66">
        <v>10792.45</v>
      </c>
      <c r="D764" s="66">
        <v>10804.45</v>
      </c>
      <c r="E764" s="66">
        <v>10630.95</v>
      </c>
      <c r="F764" s="67" t="s">
        <v>1949</v>
      </c>
      <c r="G764" s="68">
        <v>-1.0999999999999999E-2</v>
      </c>
      <c r="H764" s="64"/>
    </row>
    <row r="765" spans="1:8" x14ac:dyDescent="0.25">
      <c r="A765" s="65">
        <v>43494</v>
      </c>
      <c r="B765" s="66">
        <v>10652.2</v>
      </c>
      <c r="C765" s="66">
        <v>10653.7</v>
      </c>
      <c r="D765" s="66">
        <v>10690.35</v>
      </c>
      <c r="E765" s="66">
        <v>10583.65</v>
      </c>
      <c r="F765" s="67" t="s">
        <v>1948</v>
      </c>
      <c r="G765" s="68">
        <v>-8.9999999999999998E-4</v>
      </c>
      <c r="H765" s="64"/>
    </row>
    <row r="766" spans="1:8" x14ac:dyDescent="0.25">
      <c r="A766" s="65">
        <v>43495</v>
      </c>
      <c r="B766" s="66">
        <v>10651.8</v>
      </c>
      <c r="C766" s="66">
        <v>10702.25</v>
      </c>
      <c r="D766" s="66">
        <v>10710.2</v>
      </c>
      <c r="E766" s="66">
        <v>10612.85</v>
      </c>
      <c r="F766" s="67" t="s">
        <v>1947</v>
      </c>
      <c r="G766" s="68">
        <v>0</v>
      </c>
      <c r="H766" s="64"/>
    </row>
    <row r="767" spans="1:8" x14ac:dyDescent="0.25">
      <c r="A767" s="65">
        <v>43496</v>
      </c>
      <c r="B767" s="66">
        <v>10830.95</v>
      </c>
      <c r="C767" s="66">
        <v>10690.55</v>
      </c>
      <c r="D767" s="66">
        <v>10838.05</v>
      </c>
      <c r="E767" s="66">
        <v>10678.55</v>
      </c>
      <c r="F767" s="67" t="s">
        <v>1946</v>
      </c>
      <c r="G767" s="68">
        <v>1.6799999999999999E-2</v>
      </c>
      <c r="H767" s="64"/>
    </row>
    <row r="768" spans="1:8" x14ac:dyDescent="0.25">
      <c r="A768" s="65">
        <v>43497</v>
      </c>
      <c r="B768" s="66">
        <v>10893.65</v>
      </c>
      <c r="C768" s="66">
        <v>10851.35</v>
      </c>
      <c r="D768" s="66">
        <v>10983.45</v>
      </c>
      <c r="E768" s="66">
        <v>10813.45</v>
      </c>
      <c r="F768" s="67" t="s">
        <v>1945</v>
      </c>
      <c r="G768" s="68">
        <v>5.7999999999999996E-3</v>
      </c>
      <c r="H768" s="64"/>
    </row>
    <row r="769" spans="1:8" x14ac:dyDescent="0.25">
      <c r="A769" s="65">
        <v>43500</v>
      </c>
      <c r="B769" s="66">
        <v>10912.25</v>
      </c>
      <c r="C769" s="66">
        <v>10876.75</v>
      </c>
      <c r="D769" s="66">
        <v>10927.9</v>
      </c>
      <c r="E769" s="66">
        <v>10814.15</v>
      </c>
      <c r="F769" s="67" t="s">
        <v>1944</v>
      </c>
      <c r="G769" s="68">
        <v>1.6999999999999999E-3</v>
      </c>
      <c r="H769" s="64"/>
    </row>
    <row r="770" spans="1:8" x14ac:dyDescent="0.25">
      <c r="A770" s="65">
        <v>43501</v>
      </c>
      <c r="B770" s="66">
        <v>10934.35</v>
      </c>
      <c r="C770" s="66">
        <v>10908.65</v>
      </c>
      <c r="D770" s="66">
        <v>10956.7</v>
      </c>
      <c r="E770" s="66">
        <v>10886.7</v>
      </c>
      <c r="F770" s="67" t="s">
        <v>1943</v>
      </c>
      <c r="G770" s="68">
        <v>2E-3</v>
      </c>
      <c r="H770" s="64"/>
    </row>
    <row r="771" spans="1:8" x14ac:dyDescent="0.25">
      <c r="A771" s="65">
        <v>43502</v>
      </c>
      <c r="B771" s="66">
        <v>11062.45</v>
      </c>
      <c r="C771" s="66">
        <v>10965.1</v>
      </c>
      <c r="D771" s="66">
        <v>11072.6</v>
      </c>
      <c r="E771" s="66">
        <v>10962.7</v>
      </c>
      <c r="F771" s="67" t="s">
        <v>1942</v>
      </c>
      <c r="G771" s="68">
        <v>1.17E-2</v>
      </c>
      <c r="H771" s="64"/>
    </row>
    <row r="772" spans="1:8" x14ac:dyDescent="0.25">
      <c r="A772" s="65">
        <v>43503</v>
      </c>
      <c r="B772" s="66">
        <v>11069.4</v>
      </c>
      <c r="C772" s="66">
        <v>11070.45</v>
      </c>
      <c r="D772" s="66">
        <v>11118.1</v>
      </c>
      <c r="E772" s="66">
        <v>11043.6</v>
      </c>
      <c r="F772" s="67" t="s">
        <v>1941</v>
      </c>
      <c r="G772" s="68">
        <v>5.9999999999999995E-4</v>
      </c>
      <c r="H772" s="64"/>
    </row>
    <row r="773" spans="1:8" x14ac:dyDescent="0.25">
      <c r="A773" s="65">
        <v>43504</v>
      </c>
      <c r="B773" s="66">
        <v>10943.6</v>
      </c>
      <c r="C773" s="66">
        <v>11023.5</v>
      </c>
      <c r="D773" s="66">
        <v>11041.2</v>
      </c>
      <c r="E773" s="66">
        <v>10925.45</v>
      </c>
      <c r="F773" s="67" t="s">
        <v>1940</v>
      </c>
      <c r="G773" s="68">
        <v>-1.14E-2</v>
      </c>
      <c r="H773" s="64"/>
    </row>
    <row r="774" spans="1:8" x14ac:dyDescent="0.25">
      <c r="A774" s="65">
        <v>43507</v>
      </c>
      <c r="B774" s="66">
        <v>10888.8</v>
      </c>
      <c r="C774" s="66">
        <v>10930.9</v>
      </c>
      <c r="D774" s="66">
        <v>10930.9</v>
      </c>
      <c r="E774" s="66">
        <v>10857.1</v>
      </c>
      <c r="F774" s="67" t="s">
        <v>1939</v>
      </c>
      <c r="G774" s="68">
        <v>-5.0000000000000001E-3</v>
      </c>
      <c r="H774" s="64"/>
    </row>
    <row r="775" spans="1:8" x14ac:dyDescent="0.25">
      <c r="A775" s="65">
        <v>43508</v>
      </c>
      <c r="B775" s="66">
        <v>10831.4</v>
      </c>
      <c r="C775" s="66">
        <v>10879.7</v>
      </c>
      <c r="D775" s="66">
        <v>10910.9</v>
      </c>
      <c r="E775" s="66">
        <v>10823.8</v>
      </c>
      <c r="F775" s="67" t="s">
        <v>1938</v>
      </c>
      <c r="G775" s="68">
        <v>-5.3E-3</v>
      </c>
      <c r="H775" s="64"/>
    </row>
    <row r="776" spans="1:8" x14ac:dyDescent="0.25">
      <c r="A776" s="65">
        <v>43509</v>
      </c>
      <c r="B776" s="66">
        <v>10793.65</v>
      </c>
      <c r="C776" s="66">
        <v>10870.55</v>
      </c>
      <c r="D776" s="66">
        <v>10891.65</v>
      </c>
      <c r="E776" s="66">
        <v>10772.1</v>
      </c>
      <c r="F776" s="67" t="s">
        <v>1937</v>
      </c>
      <c r="G776" s="68">
        <v>-3.5000000000000001E-3</v>
      </c>
      <c r="H776" s="64"/>
    </row>
    <row r="777" spans="1:8" x14ac:dyDescent="0.25">
      <c r="A777" s="65">
        <v>43510</v>
      </c>
      <c r="B777" s="66">
        <v>10746.05</v>
      </c>
      <c r="C777" s="66">
        <v>10786.1</v>
      </c>
      <c r="D777" s="66">
        <v>10792.7</v>
      </c>
      <c r="E777" s="66">
        <v>10718.75</v>
      </c>
      <c r="F777" s="67" t="s">
        <v>1936</v>
      </c>
      <c r="G777" s="68">
        <v>-4.4000000000000003E-3</v>
      </c>
      <c r="H777" s="64"/>
    </row>
    <row r="778" spans="1:8" x14ac:dyDescent="0.25">
      <c r="A778" s="65">
        <v>43511</v>
      </c>
      <c r="B778" s="66">
        <v>10724.4</v>
      </c>
      <c r="C778" s="66">
        <v>10780.25</v>
      </c>
      <c r="D778" s="66">
        <v>10785.75</v>
      </c>
      <c r="E778" s="66">
        <v>10620.4</v>
      </c>
      <c r="F778" s="67" t="s">
        <v>1935</v>
      </c>
      <c r="G778" s="68">
        <v>-2E-3</v>
      </c>
      <c r="H778" s="64"/>
    </row>
    <row r="779" spans="1:8" x14ac:dyDescent="0.25">
      <c r="A779" s="65">
        <v>43514</v>
      </c>
      <c r="B779" s="66">
        <v>10640.95</v>
      </c>
      <c r="C779" s="66">
        <v>10738.65</v>
      </c>
      <c r="D779" s="66">
        <v>10759.9</v>
      </c>
      <c r="E779" s="66">
        <v>10628.4</v>
      </c>
      <c r="F779" s="67" t="s">
        <v>1934</v>
      </c>
      <c r="G779" s="68">
        <v>-7.7999999999999996E-3</v>
      </c>
      <c r="H779" s="64"/>
    </row>
    <row r="780" spans="1:8" x14ac:dyDescent="0.25">
      <c r="A780" s="65">
        <v>43515</v>
      </c>
      <c r="B780" s="66">
        <v>10604.35</v>
      </c>
      <c r="C780" s="66">
        <v>10636.7</v>
      </c>
      <c r="D780" s="66">
        <v>10722.85</v>
      </c>
      <c r="E780" s="66">
        <v>10585.65</v>
      </c>
      <c r="F780" s="67" t="s">
        <v>1933</v>
      </c>
      <c r="G780" s="68">
        <v>-3.3999999999999998E-3</v>
      </c>
      <c r="H780" s="64"/>
    </row>
    <row r="781" spans="1:8" x14ac:dyDescent="0.25">
      <c r="A781" s="65">
        <v>43516</v>
      </c>
      <c r="B781" s="66">
        <v>10735.45</v>
      </c>
      <c r="C781" s="66">
        <v>10655.45</v>
      </c>
      <c r="D781" s="66">
        <v>10752.7</v>
      </c>
      <c r="E781" s="66">
        <v>10646.4</v>
      </c>
      <c r="F781" s="67" t="s">
        <v>641</v>
      </c>
      <c r="G781" s="68">
        <v>1.24E-2</v>
      </c>
      <c r="H781" s="64"/>
    </row>
    <row r="782" spans="1:8" x14ac:dyDescent="0.25">
      <c r="A782" s="65">
        <v>43517</v>
      </c>
      <c r="B782" s="66">
        <v>10789.85</v>
      </c>
      <c r="C782" s="66">
        <v>10744.1</v>
      </c>
      <c r="D782" s="66">
        <v>10808.85</v>
      </c>
      <c r="E782" s="66">
        <v>10721.5</v>
      </c>
      <c r="F782" s="67" t="s">
        <v>1932</v>
      </c>
      <c r="G782" s="68">
        <v>5.1000000000000004E-3</v>
      </c>
      <c r="H782" s="64"/>
    </row>
    <row r="783" spans="1:8" x14ac:dyDescent="0.25">
      <c r="A783" s="65">
        <v>43518</v>
      </c>
      <c r="B783" s="66">
        <v>10791.65</v>
      </c>
      <c r="C783" s="66">
        <v>10782.7</v>
      </c>
      <c r="D783" s="66">
        <v>10801.55</v>
      </c>
      <c r="E783" s="66">
        <v>10758.4</v>
      </c>
      <c r="F783" s="67" t="s">
        <v>1931</v>
      </c>
      <c r="G783" s="68">
        <v>2.0000000000000001E-4</v>
      </c>
      <c r="H783" s="64"/>
    </row>
    <row r="784" spans="1:8" x14ac:dyDescent="0.25">
      <c r="A784" s="65">
        <v>43521</v>
      </c>
      <c r="B784" s="66">
        <v>10880.1</v>
      </c>
      <c r="C784" s="66">
        <v>10813.25</v>
      </c>
      <c r="D784" s="66">
        <v>10887.1</v>
      </c>
      <c r="E784" s="66">
        <v>10788.05</v>
      </c>
      <c r="F784" s="67" t="s">
        <v>1930</v>
      </c>
      <c r="G784" s="68">
        <v>8.2000000000000007E-3</v>
      </c>
      <c r="H784" s="64"/>
    </row>
    <row r="785" spans="1:8" x14ac:dyDescent="0.25">
      <c r="A785" s="65">
        <v>43522</v>
      </c>
      <c r="B785" s="66">
        <v>10835.3</v>
      </c>
      <c r="C785" s="66">
        <v>10775.3</v>
      </c>
      <c r="D785" s="66">
        <v>10888.75</v>
      </c>
      <c r="E785" s="66">
        <v>10729.3</v>
      </c>
      <c r="F785" s="67" t="s">
        <v>1929</v>
      </c>
      <c r="G785" s="68">
        <v>-4.1000000000000003E-3</v>
      </c>
      <c r="H785" s="64"/>
    </row>
    <row r="786" spans="1:8" x14ac:dyDescent="0.25">
      <c r="A786" s="65">
        <v>43523</v>
      </c>
      <c r="B786" s="66">
        <v>10806.65</v>
      </c>
      <c r="C786" s="66">
        <v>10881.2</v>
      </c>
      <c r="D786" s="66">
        <v>10939.7</v>
      </c>
      <c r="E786" s="66">
        <v>10751.2</v>
      </c>
      <c r="F786" s="67" t="s">
        <v>1928</v>
      </c>
      <c r="G786" s="68">
        <v>-2.5999999999999999E-3</v>
      </c>
      <c r="H786" s="64"/>
    </row>
    <row r="787" spans="1:8" x14ac:dyDescent="0.25">
      <c r="A787" s="65">
        <v>43524</v>
      </c>
      <c r="B787" s="66">
        <v>10792.5</v>
      </c>
      <c r="C787" s="66">
        <v>10865.7</v>
      </c>
      <c r="D787" s="66">
        <v>10865.7</v>
      </c>
      <c r="E787" s="66">
        <v>10784.85</v>
      </c>
      <c r="F787" s="67" t="s">
        <v>1927</v>
      </c>
      <c r="G787" s="68">
        <v>-1.2999999999999999E-3</v>
      </c>
      <c r="H787" s="64"/>
    </row>
    <row r="788" spans="1:8" x14ac:dyDescent="0.25">
      <c r="A788" s="65">
        <v>43525</v>
      </c>
      <c r="B788" s="66">
        <v>10863.5</v>
      </c>
      <c r="C788" s="66">
        <v>10842.65</v>
      </c>
      <c r="D788" s="66">
        <v>10877.9</v>
      </c>
      <c r="E788" s="66">
        <v>10823.1</v>
      </c>
      <c r="F788" s="67" t="s">
        <v>1080</v>
      </c>
      <c r="G788" s="68">
        <v>6.6E-3</v>
      </c>
      <c r="H788" s="64"/>
    </row>
    <row r="789" spans="1:8" x14ac:dyDescent="0.25">
      <c r="A789" s="65">
        <v>43529</v>
      </c>
      <c r="B789" s="66">
        <v>10987.45</v>
      </c>
      <c r="C789" s="66">
        <v>10864.85</v>
      </c>
      <c r="D789" s="66">
        <v>10994.9</v>
      </c>
      <c r="E789" s="66">
        <v>10817</v>
      </c>
      <c r="F789" s="67" t="s">
        <v>1926</v>
      </c>
      <c r="G789" s="68">
        <v>1.14E-2</v>
      </c>
      <c r="H789" s="64"/>
    </row>
    <row r="790" spans="1:8" x14ac:dyDescent="0.25">
      <c r="A790" s="65">
        <v>43530</v>
      </c>
      <c r="B790" s="66">
        <v>11053</v>
      </c>
      <c r="C790" s="66">
        <v>11024.85</v>
      </c>
      <c r="D790" s="66">
        <v>11062.3</v>
      </c>
      <c r="E790" s="66">
        <v>10998.85</v>
      </c>
      <c r="F790" s="67" t="s">
        <v>1925</v>
      </c>
      <c r="G790" s="68">
        <v>6.0000000000000001E-3</v>
      </c>
      <c r="H790" s="64"/>
    </row>
    <row r="791" spans="1:8" x14ac:dyDescent="0.25">
      <c r="A791" s="65">
        <v>43531</v>
      </c>
      <c r="B791" s="66">
        <v>11058.2</v>
      </c>
      <c r="C791" s="66">
        <v>11077.95</v>
      </c>
      <c r="D791" s="66">
        <v>11089.05</v>
      </c>
      <c r="E791" s="66">
        <v>11027.1</v>
      </c>
      <c r="F791" s="67" t="s">
        <v>1924</v>
      </c>
      <c r="G791" s="68">
        <v>5.0000000000000001E-4</v>
      </c>
      <c r="H791" s="64"/>
    </row>
    <row r="792" spans="1:8" x14ac:dyDescent="0.25">
      <c r="A792" s="65">
        <v>43532</v>
      </c>
      <c r="B792" s="66">
        <v>11035.4</v>
      </c>
      <c r="C792" s="66">
        <v>11038.85</v>
      </c>
      <c r="D792" s="66">
        <v>11049</v>
      </c>
      <c r="E792" s="66">
        <v>11008.95</v>
      </c>
      <c r="F792" s="67" t="s">
        <v>1923</v>
      </c>
      <c r="G792" s="68">
        <v>-2.0999999999999999E-3</v>
      </c>
      <c r="H792" s="64"/>
    </row>
    <row r="793" spans="1:8" x14ac:dyDescent="0.25">
      <c r="A793" s="65">
        <v>43535</v>
      </c>
      <c r="B793" s="66">
        <v>11168.05</v>
      </c>
      <c r="C793" s="66">
        <v>11068.75</v>
      </c>
      <c r="D793" s="66">
        <v>11180.9</v>
      </c>
      <c r="E793" s="66">
        <v>11059.85</v>
      </c>
      <c r="F793" s="67" t="s">
        <v>1922</v>
      </c>
      <c r="G793" s="68">
        <v>1.2E-2</v>
      </c>
      <c r="H793" s="64"/>
    </row>
    <row r="794" spans="1:8" x14ac:dyDescent="0.25">
      <c r="A794" s="65">
        <v>43536</v>
      </c>
      <c r="B794" s="66">
        <v>11301.2</v>
      </c>
      <c r="C794" s="66">
        <v>11231.35</v>
      </c>
      <c r="D794" s="66">
        <v>11320.4</v>
      </c>
      <c r="E794" s="66">
        <v>11227</v>
      </c>
      <c r="F794" s="67" t="s">
        <v>1921</v>
      </c>
      <c r="G794" s="68">
        <v>1.1900000000000001E-2</v>
      </c>
      <c r="H794" s="64"/>
    </row>
    <row r="795" spans="1:8" x14ac:dyDescent="0.25">
      <c r="A795" s="65">
        <v>43537</v>
      </c>
      <c r="B795" s="66">
        <v>11341.7</v>
      </c>
      <c r="C795" s="66">
        <v>11326.2</v>
      </c>
      <c r="D795" s="66">
        <v>11352.3</v>
      </c>
      <c r="E795" s="66">
        <v>11276.6</v>
      </c>
      <c r="F795" s="67" t="s">
        <v>1920</v>
      </c>
      <c r="G795" s="68">
        <v>3.5999999999999999E-3</v>
      </c>
      <c r="H795" s="64"/>
    </row>
    <row r="796" spans="1:8" x14ac:dyDescent="0.25">
      <c r="A796" s="65">
        <v>43538</v>
      </c>
      <c r="B796" s="66">
        <v>11343.25</v>
      </c>
      <c r="C796" s="66">
        <v>11382.5</v>
      </c>
      <c r="D796" s="66">
        <v>11383.45</v>
      </c>
      <c r="E796" s="66">
        <v>11313.75</v>
      </c>
      <c r="F796" s="67" t="s">
        <v>1919</v>
      </c>
      <c r="G796" s="68">
        <v>1E-4</v>
      </c>
      <c r="H796" s="64"/>
    </row>
    <row r="797" spans="1:8" x14ac:dyDescent="0.25">
      <c r="A797" s="65">
        <v>43539</v>
      </c>
      <c r="B797" s="66">
        <v>11426.85</v>
      </c>
      <c r="C797" s="66">
        <v>11376.85</v>
      </c>
      <c r="D797" s="66">
        <v>11487</v>
      </c>
      <c r="E797" s="66">
        <v>11370.8</v>
      </c>
      <c r="F797" s="67" t="s">
        <v>1918</v>
      </c>
      <c r="G797" s="68">
        <v>7.4000000000000003E-3</v>
      </c>
      <c r="H797" s="64"/>
    </row>
    <row r="798" spans="1:8" x14ac:dyDescent="0.25">
      <c r="A798" s="65">
        <v>43542</v>
      </c>
      <c r="B798" s="66">
        <v>11462.2</v>
      </c>
      <c r="C798" s="66">
        <v>11473.85</v>
      </c>
      <c r="D798" s="66">
        <v>11530.15</v>
      </c>
      <c r="E798" s="66">
        <v>11412.5</v>
      </c>
      <c r="F798" s="67" t="s">
        <v>1917</v>
      </c>
      <c r="G798" s="68">
        <v>3.0999999999999999E-3</v>
      </c>
      <c r="H798" s="64"/>
    </row>
    <row r="799" spans="1:8" x14ac:dyDescent="0.25">
      <c r="A799" s="65">
        <v>43543</v>
      </c>
      <c r="B799" s="66">
        <v>11532.4</v>
      </c>
      <c r="C799" s="66">
        <v>11500.3</v>
      </c>
      <c r="D799" s="66">
        <v>11543.85</v>
      </c>
      <c r="E799" s="66">
        <v>11451.25</v>
      </c>
      <c r="F799" s="67" t="s">
        <v>1916</v>
      </c>
      <c r="G799" s="68">
        <v>6.1000000000000004E-3</v>
      </c>
      <c r="H799" s="64"/>
    </row>
    <row r="800" spans="1:8" x14ac:dyDescent="0.25">
      <c r="A800" s="65">
        <v>43544</v>
      </c>
      <c r="B800" s="66">
        <v>11521.05</v>
      </c>
      <c r="C800" s="66">
        <v>11553.35</v>
      </c>
      <c r="D800" s="66">
        <v>11556.1</v>
      </c>
      <c r="E800" s="66">
        <v>11503.1</v>
      </c>
      <c r="F800" s="67" t="s">
        <v>1915</v>
      </c>
      <c r="G800" s="68">
        <v>-1E-3</v>
      </c>
      <c r="H800" s="64"/>
    </row>
    <row r="801" spans="1:8" x14ac:dyDescent="0.25">
      <c r="A801" s="65">
        <v>43546</v>
      </c>
      <c r="B801" s="66">
        <v>11456.9</v>
      </c>
      <c r="C801" s="66">
        <v>11549.2</v>
      </c>
      <c r="D801" s="66">
        <v>11572.8</v>
      </c>
      <c r="E801" s="66">
        <v>11434.55</v>
      </c>
      <c r="F801" s="67" t="s">
        <v>1914</v>
      </c>
      <c r="G801" s="68">
        <v>-5.5999999999999999E-3</v>
      </c>
      <c r="H801" s="64"/>
    </row>
    <row r="802" spans="1:8" x14ac:dyDescent="0.25">
      <c r="A802" s="65">
        <v>43549</v>
      </c>
      <c r="B802" s="66">
        <v>11354.25</v>
      </c>
      <c r="C802" s="66">
        <v>11395.65</v>
      </c>
      <c r="D802" s="66">
        <v>11395.65</v>
      </c>
      <c r="E802" s="66">
        <v>11311.6</v>
      </c>
      <c r="F802" s="67" t="s">
        <v>1913</v>
      </c>
      <c r="G802" s="68">
        <v>-8.9999999999999993E-3</v>
      </c>
      <c r="H802" s="64"/>
    </row>
    <row r="803" spans="1:8" x14ac:dyDescent="0.25">
      <c r="A803" s="65">
        <v>43550</v>
      </c>
      <c r="B803" s="66">
        <v>11483.25</v>
      </c>
      <c r="C803" s="66">
        <v>11375.2</v>
      </c>
      <c r="D803" s="66">
        <v>11496.75</v>
      </c>
      <c r="E803" s="66">
        <v>11352.45</v>
      </c>
      <c r="F803" s="67" t="s">
        <v>1912</v>
      </c>
      <c r="G803" s="68">
        <v>1.14E-2</v>
      </c>
      <c r="H803" s="64"/>
    </row>
    <row r="804" spans="1:8" x14ac:dyDescent="0.25">
      <c r="A804" s="65">
        <v>43551</v>
      </c>
      <c r="B804" s="66">
        <v>11445.05</v>
      </c>
      <c r="C804" s="66">
        <v>11531.45</v>
      </c>
      <c r="D804" s="66">
        <v>11546.2</v>
      </c>
      <c r="E804" s="66">
        <v>11413</v>
      </c>
      <c r="F804" s="67" t="s">
        <v>1911</v>
      </c>
      <c r="G804" s="68">
        <v>-3.3E-3</v>
      </c>
      <c r="H804" s="64"/>
    </row>
    <row r="805" spans="1:8" x14ac:dyDescent="0.25">
      <c r="A805" s="65">
        <v>43552</v>
      </c>
      <c r="B805" s="66">
        <v>11570</v>
      </c>
      <c r="C805" s="66">
        <v>11463.65</v>
      </c>
      <c r="D805" s="66">
        <v>11588.5</v>
      </c>
      <c r="E805" s="66">
        <v>11452.45</v>
      </c>
      <c r="F805" s="67" t="s">
        <v>1910</v>
      </c>
      <c r="G805" s="68">
        <v>1.09E-2</v>
      </c>
      <c r="H805" s="64"/>
    </row>
    <row r="806" spans="1:8" x14ac:dyDescent="0.25">
      <c r="A806" s="65">
        <v>43553</v>
      </c>
      <c r="B806" s="66">
        <v>11623.9</v>
      </c>
      <c r="C806" s="66">
        <v>11625.45</v>
      </c>
      <c r="D806" s="66">
        <v>11630.35</v>
      </c>
      <c r="E806" s="66">
        <v>11570.15</v>
      </c>
      <c r="F806" s="67" t="s">
        <v>1909</v>
      </c>
      <c r="G806" s="68">
        <v>4.7000000000000002E-3</v>
      </c>
      <c r="H806" s="64"/>
    </row>
    <row r="807" spans="1:8" x14ac:dyDescent="0.25">
      <c r="A807" s="65">
        <v>43556</v>
      </c>
      <c r="B807" s="66">
        <v>11669.15</v>
      </c>
      <c r="C807" s="66">
        <v>11665.2</v>
      </c>
      <c r="D807" s="66">
        <v>11738.1</v>
      </c>
      <c r="E807" s="66">
        <v>11644.75</v>
      </c>
      <c r="F807" s="67" t="s">
        <v>1908</v>
      </c>
      <c r="G807" s="68">
        <v>3.8999999999999998E-3</v>
      </c>
      <c r="H807" s="64"/>
    </row>
    <row r="808" spans="1:8" x14ac:dyDescent="0.25">
      <c r="A808" s="65">
        <v>43557</v>
      </c>
      <c r="B808" s="66">
        <v>11713.2</v>
      </c>
      <c r="C808" s="66">
        <v>11711.55</v>
      </c>
      <c r="D808" s="66">
        <v>11729.35</v>
      </c>
      <c r="E808" s="66">
        <v>11655.85</v>
      </c>
      <c r="F808" s="67" t="s">
        <v>1907</v>
      </c>
      <c r="G808" s="68">
        <v>3.8E-3</v>
      </c>
      <c r="H808" s="64"/>
    </row>
    <row r="809" spans="1:8" x14ac:dyDescent="0.25">
      <c r="A809" s="65">
        <v>43558</v>
      </c>
      <c r="B809" s="66">
        <v>11643.95</v>
      </c>
      <c r="C809" s="66">
        <v>11735.3</v>
      </c>
      <c r="D809" s="66">
        <v>11761</v>
      </c>
      <c r="E809" s="66">
        <v>11629.15</v>
      </c>
      <c r="F809" s="67" t="s">
        <v>1906</v>
      </c>
      <c r="G809" s="68">
        <v>-5.8999999999999999E-3</v>
      </c>
      <c r="H809" s="64"/>
    </row>
    <row r="810" spans="1:8" x14ac:dyDescent="0.25">
      <c r="A810" s="65">
        <v>43559</v>
      </c>
      <c r="B810" s="66">
        <v>11598</v>
      </c>
      <c r="C810" s="66">
        <v>11660.2</v>
      </c>
      <c r="D810" s="66">
        <v>11662.55</v>
      </c>
      <c r="E810" s="66">
        <v>11559.2</v>
      </c>
      <c r="F810" s="67" t="s">
        <v>1905</v>
      </c>
      <c r="G810" s="68">
        <v>-3.8999999999999998E-3</v>
      </c>
      <c r="H810" s="64"/>
    </row>
    <row r="811" spans="1:8" x14ac:dyDescent="0.25">
      <c r="A811" s="65">
        <v>43560</v>
      </c>
      <c r="B811" s="66">
        <v>11665.95</v>
      </c>
      <c r="C811" s="66">
        <v>11638.4</v>
      </c>
      <c r="D811" s="66">
        <v>11689.65</v>
      </c>
      <c r="E811" s="66">
        <v>11609.5</v>
      </c>
      <c r="F811" s="67" t="s">
        <v>1904</v>
      </c>
      <c r="G811" s="68">
        <v>5.8999999999999999E-3</v>
      </c>
      <c r="H811" s="64"/>
    </row>
    <row r="812" spans="1:8" x14ac:dyDescent="0.25">
      <c r="A812" s="65">
        <v>43563</v>
      </c>
      <c r="B812" s="66">
        <v>11604.5</v>
      </c>
      <c r="C812" s="66">
        <v>11704.35</v>
      </c>
      <c r="D812" s="66">
        <v>11710.3</v>
      </c>
      <c r="E812" s="66">
        <v>11549.1</v>
      </c>
      <c r="F812" s="67" t="s">
        <v>1903</v>
      </c>
      <c r="G812" s="68">
        <v>-5.3E-3</v>
      </c>
      <c r="H812" s="64"/>
    </row>
    <row r="813" spans="1:8" x14ac:dyDescent="0.25">
      <c r="A813" s="65">
        <v>43564</v>
      </c>
      <c r="B813" s="66">
        <v>11671.95</v>
      </c>
      <c r="C813" s="66">
        <v>11612.05</v>
      </c>
      <c r="D813" s="66">
        <v>11683.9</v>
      </c>
      <c r="E813" s="66">
        <v>11569.7</v>
      </c>
      <c r="F813" s="67" t="s">
        <v>1902</v>
      </c>
      <c r="G813" s="68">
        <v>5.7999999999999996E-3</v>
      </c>
      <c r="H813" s="64"/>
    </row>
    <row r="814" spans="1:8" x14ac:dyDescent="0.25">
      <c r="A814" s="65">
        <v>43565</v>
      </c>
      <c r="B814" s="66">
        <v>11584.3</v>
      </c>
      <c r="C814" s="66">
        <v>11646.85</v>
      </c>
      <c r="D814" s="66">
        <v>11680.05</v>
      </c>
      <c r="E814" s="66">
        <v>11571.75</v>
      </c>
      <c r="F814" s="67" t="s">
        <v>1901</v>
      </c>
      <c r="G814" s="68">
        <v>-7.4999999999999997E-3</v>
      </c>
      <c r="H814" s="64"/>
    </row>
    <row r="815" spans="1:8" x14ac:dyDescent="0.25">
      <c r="A815" s="65">
        <v>43566</v>
      </c>
      <c r="B815" s="66">
        <v>11596.7</v>
      </c>
      <c r="C815" s="66">
        <v>11592.55</v>
      </c>
      <c r="D815" s="66">
        <v>11606.7</v>
      </c>
      <c r="E815" s="66">
        <v>11550.55</v>
      </c>
      <c r="F815" s="67" t="s">
        <v>1900</v>
      </c>
      <c r="G815" s="68">
        <v>1.1000000000000001E-3</v>
      </c>
      <c r="H815" s="64"/>
    </row>
    <row r="816" spans="1:8" x14ac:dyDescent="0.25">
      <c r="A816" s="65">
        <v>43567</v>
      </c>
      <c r="B816" s="66">
        <v>11643.45</v>
      </c>
      <c r="C816" s="66">
        <v>11612.85</v>
      </c>
      <c r="D816" s="66">
        <v>11657.35</v>
      </c>
      <c r="E816" s="66">
        <v>11578.8</v>
      </c>
      <c r="F816" s="67" t="s">
        <v>1899</v>
      </c>
      <c r="G816" s="68">
        <v>4.0000000000000001E-3</v>
      </c>
      <c r="H816" s="64"/>
    </row>
    <row r="817" spans="1:8" x14ac:dyDescent="0.25">
      <c r="A817" s="65">
        <v>43570</v>
      </c>
      <c r="B817" s="66">
        <v>11690.35</v>
      </c>
      <c r="C817" s="66">
        <v>11667</v>
      </c>
      <c r="D817" s="66">
        <v>11704.6</v>
      </c>
      <c r="E817" s="66">
        <v>11648.25</v>
      </c>
      <c r="F817" s="67" t="s">
        <v>1898</v>
      </c>
      <c r="G817" s="68">
        <v>4.0000000000000001E-3</v>
      </c>
      <c r="H817" s="64"/>
    </row>
    <row r="818" spans="1:8" x14ac:dyDescent="0.25">
      <c r="A818" s="65">
        <v>43571</v>
      </c>
      <c r="B818" s="66">
        <v>11787.15</v>
      </c>
      <c r="C818" s="66">
        <v>11736.2</v>
      </c>
      <c r="D818" s="66">
        <v>11810.95</v>
      </c>
      <c r="E818" s="66">
        <v>11731.55</v>
      </c>
      <c r="F818" s="67" t="s">
        <v>1897</v>
      </c>
      <c r="G818" s="68">
        <v>8.3000000000000001E-3</v>
      </c>
      <c r="H818" s="64"/>
    </row>
    <row r="819" spans="1:8" x14ac:dyDescent="0.25">
      <c r="A819" s="65">
        <v>43573</v>
      </c>
      <c r="B819" s="66">
        <v>11752.8</v>
      </c>
      <c r="C819" s="66">
        <v>11856.15</v>
      </c>
      <c r="D819" s="66">
        <v>11856.15</v>
      </c>
      <c r="E819" s="66">
        <v>11738.5</v>
      </c>
      <c r="F819" s="67" t="s">
        <v>1896</v>
      </c>
      <c r="G819" s="68">
        <v>-2.8999999999999998E-3</v>
      </c>
      <c r="H819" s="64"/>
    </row>
    <row r="820" spans="1:8" x14ac:dyDescent="0.25">
      <c r="A820" s="65">
        <v>43577</v>
      </c>
      <c r="B820" s="66">
        <v>11594.45</v>
      </c>
      <c r="C820" s="66">
        <v>11727.05</v>
      </c>
      <c r="D820" s="66">
        <v>11727.05</v>
      </c>
      <c r="E820" s="66">
        <v>11583.95</v>
      </c>
      <c r="F820" s="67" t="s">
        <v>1895</v>
      </c>
      <c r="G820" s="68">
        <v>-1.35E-2</v>
      </c>
      <c r="H820" s="64"/>
    </row>
    <row r="821" spans="1:8" x14ac:dyDescent="0.25">
      <c r="A821" s="65">
        <v>43578</v>
      </c>
      <c r="B821" s="66">
        <v>11575.95</v>
      </c>
      <c r="C821" s="66">
        <v>11612.95</v>
      </c>
      <c r="D821" s="66">
        <v>11645.95</v>
      </c>
      <c r="E821" s="66">
        <v>11564.8</v>
      </c>
      <c r="F821" s="67" t="s">
        <v>1894</v>
      </c>
      <c r="G821" s="68">
        <v>-1.6000000000000001E-3</v>
      </c>
      <c r="H821" s="64"/>
    </row>
    <row r="822" spans="1:8" x14ac:dyDescent="0.25">
      <c r="A822" s="65">
        <v>43579</v>
      </c>
      <c r="B822" s="66">
        <v>11726.15</v>
      </c>
      <c r="C822" s="66">
        <v>11601.5</v>
      </c>
      <c r="D822" s="66">
        <v>11740.85</v>
      </c>
      <c r="E822" s="66">
        <v>11578.85</v>
      </c>
      <c r="F822" s="67" t="s">
        <v>1893</v>
      </c>
      <c r="G822" s="68">
        <v>1.2999999999999999E-2</v>
      </c>
      <c r="H822" s="64"/>
    </row>
    <row r="823" spans="1:8" x14ac:dyDescent="0.25">
      <c r="A823" s="65">
        <v>43580</v>
      </c>
      <c r="B823" s="66">
        <v>11641.8</v>
      </c>
      <c r="C823" s="66">
        <v>11735.7</v>
      </c>
      <c r="D823" s="66">
        <v>11796.75</v>
      </c>
      <c r="E823" s="66">
        <v>11624.3</v>
      </c>
      <c r="F823" s="67" t="s">
        <v>1892</v>
      </c>
      <c r="G823" s="68">
        <v>-7.1999999999999998E-3</v>
      </c>
      <c r="H823" s="64"/>
    </row>
    <row r="824" spans="1:8" x14ac:dyDescent="0.25">
      <c r="A824" s="65">
        <v>43581</v>
      </c>
      <c r="B824" s="66">
        <v>11754.65</v>
      </c>
      <c r="C824" s="66">
        <v>11683.75</v>
      </c>
      <c r="D824" s="66">
        <v>11762.9</v>
      </c>
      <c r="E824" s="66">
        <v>11661.75</v>
      </c>
      <c r="F824" s="67" t="s">
        <v>1891</v>
      </c>
      <c r="G824" s="68">
        <v>9.7000000000000003E-3</v>
      </c>
      <c r="H824" s="64"/>
    </row>
    <row r="825" spans="1:8" x14ac:dyDescent="0.25">
      <c r="A825" s="65">
        <v>43585</v>
      </c>
      <c r="B825" s="66">
        <v>11748.15</v>
      </c>
      <c r="C825" s="66">
        <v>11748.75</v>
      </c>
      <c r="D825" s="66">
        <v>11756.25</v>
      </c>
      <c r="E825" s="66">
        <v>11655.9</v>
      </c>
      <c r="F825" s="67" t="s">
        <v>1890</v>
      </c>
      <c r="G825" s="68">
        <v>-5.9999999999999995E-4</v>
      </c>
      <c r="H825" s="64"/>
    </row>
    <row r="826" spans="1:8" x14ac:dyDescent="0.25">
      <c r="A826" s="65">
        <v>43587</v>
      </c>
      <c r="B826" s="66">
        <v>11724.75</v>
      </c>
      <c r="C826" s="66">
        <v>11725.55</v>
      </c>
      <c r="D826" s="66">
        <v>11789.3</v>
      </c>
      <c r="E826" s="66">
        <v>11699.55</v>
      </c>
      <c r="F826" s="67" t="s">
        <v>1889</v>
      </c>
      <c r="G826" s="68">
        <v>-2E-3</v>
      </c>
      <c r="H826" s="64"/>
    </row>
    <row r="827" spans="1:8" x14ac:dyDescent="0.25">
      <c r="A827" s="65">
        <v>43588</v>
      </c>
      <c r="B827" s="66">
        <v>11712.25</v>
      </c>
      <c r="C827" s="66">
        <v>11722.6</v>
      </c>
      <c r="D827" s="66">
        <v>11770.9</v>
      </c>
      <c r="E827" s="66">
        <v>11699.35</v>
      </c>
      <c r="F827" s="67" t="s">
        <v>1888</v>
      </c>
      <c r="G827" s="68">
        <v>-1.1000000000000001E-3</v>
      </c>
      <c r="H827" s="64"/>
    </row>
    <row r="828" spans="1:8" x14ac:dyDescent="0.25">
      <c r="A828" s="65">
        <v>43591</v>
      </c>
      <c r="B828" s="66">
        <v>11598.25</v>
      </c>
      <c r="C828" s="66">
        <v>11605.8</v>
      </c>
      <c r="D828" s="66">
        <v>11632.55</v>
      </c>
      <c r="E828" s="66">
        <v>11571.35</v>
      </c>
      <c r="F828" s="67" t="s">
        <v>1887</v>
      </c>
      <c r="G828" s="68">
        <v>-9.7000000000000003E-3</v>
      </c>
      <c r="H828" s="64"/>
    </row>
    <row r="829" spans="1:8" x14ac:dyDescent="0.25">
      <c r="A829" s="65">
        <v>43592</v>
      </c>
      <c r="B829" s="66">
        <v>11497.9</v>
      </c>
      <c r="C829" s="66">
        <v>11651.5</v>
      </c>
      <c r="D829" s="66">
        <v>11657.05</v>
      </c>
      <c r="E829" s="66">
        <v>11484.45</v>
      </c>
      <c r="F829" s="67" t="s">
        <v>1886</v>
      </c>
      <c r="G829" s="68">
        <v>-8.6999999999999994E-3</v>
      </c>
      <c r="H829" s="64"/>
    </row>
    <row r="830" spans="1:8" x14ac:dyDescent="0.25">
      <c r="A830" s="65">
        <v>43593</v>
      </c>
      <c r="B830" s="66">
        <v>11359.45</v>
      </c>
      <c r="C830" s="66">
        <v>11478.7</v>
      </c>
      <c r="D830" s="66">
        <v>11479.1</v>
      </c>
      <c r="E830" s="66">
        <v>11346.95</v>
      </c>
      <c r="F830" s="67" t="s">
        <v>1885</v>
      </c>
      <c r="G830" s="68">
        <v>-1.2E-2</v>
      </c>
      <c r="H830" s="64"/>
    </row>
    <row r="831" spans="1:8" x14ac:dyDescent="0.25">
      <c r="A831" s="65">
        <v>43594</v>
      </c>
      <c r="B831" s="66">
        <v>11301.8</v>
      </c>
      <c r="C831" s="66">
        <v>11322.4</v>
      </c>
      <c r="D831" s="66">
        <v>11357.6</v>
      </c>
      <c r="E831" s="66">
        <v>11255.05</v>
      </c>
      <c r="F831" s="67" t="s">
        <v>1884</v>
      </c>
      <c r="G831" s="68">
        <v>-5.1000000000000004E-3</v>
      </c>
      <c r="H831" s="64"/>
    </row>
    <row r="832" spans="1:8" x14ac:dyDescent="0.25">
      <c r="A832" s="65">
        <v>43595</v>
      </c>
      <c r="B832" s="66">
        <v>11278.9</v>
      </c>
      <c r="C832" s="66">
        <v>11314.15</v>
      </c>
      <c r="D832" s="66">
        <v>11345.8</v>
      </c>
      <c r="E832" s="66">
        <v>11251.05</v>
      </c>
      <c r="F832" s="67" t="s">
        <v>1883</v>
      </c>
      <c r="G832" s="68">
        <v>-2E-3</v>
      </c>
      <c r="H832" s="64"/>
    </row>
    <row r="833" spans="1:8" x14ac:dyDescent="0.25">
      <c r="A833" s="65">
        <v>43598</v>
      </c>
      <c r="B833" s="66">
        <v>11148.2</v>
      </c>
      <c r="C833" s="66">
        <v>11258.7</v>
      </c>
      <c r="D833" s="66">
        <v>11300.2</v>
      </c>
      <c r="E833" s="66">
        <v>11125.6</v>
      </c>
      <c r="F833" s="67" t="s">
        <v>1882</v>
      </c>
      <c r="G833" s="68">
        <v>-1.1599999999999999E-2</v>
      </c>
      <c r="H833" s="64"/>
    </row>
    <row r="834" spans="1:8" x14ac:dyDescent="0.25">
      <c r="A834" s="65">
        <v>43599</v>
      </c>
      <c r="B834" s="66">
        <v>11222.05</v>
      </c>
      <c r="C834" s="66">
        <v>11151.65</v>
      </c>
      <c r="D834" s="66">
        <v>11294.75</v>
      </c>
      <c r="E834" s="66">
        <v>11108.3</v>
      </c>
      <c r="F834" s="67" t="s">
        <v>1881</v>
      </c>
      <c r="G834" s="68">
        <v>6.6E-3</v>
      </c>
      <c r="H834" s="64"/>
    </row>
    <row r="835" spans="1:8" x14ac:dyDescent="0.25">
      <c r="A835" s="65">
        <v>43600</v>
      </c>
      <c r="B835" s="66">
        <v>11157</v>
      </c>
      <c r="C835" s="66">
        <v>11271.7</v>
      </c>
      <c r="D835" s="66">
        <v>11286.8</v>
      </c>
      <c r="E835" s="66">
        <v>11136.95</v>
      </c>
      <c r="F835" s="67" t="s">
        <v>1880</v>
      </c>
      <c r="G835" s="68">
        <v>-5.7999999999999996E-3</v>
      </c>
      <c r="H835" s="64"/>
    </row>
    <row r="836" spans="1:8" x14ac:dyDescent="0.25">
      <c r="A836" s="65">
        <v>43601</v>
      </c>
      <c r="B836" s="66">
        <v>11257.1</v>
      </c>
      <c r="C836" s="66">
        <v>11180.35</v>
      </c>
      <c r="D836" s="66">
        <v>11281.55</v>
      </c>
      <c r="E836" s="66">
        <v>11143.35</v>
      </c>
      <c r="F836" s="67" t="s">
        <v>1879</v>
      </c>
      <c r="G836" s="68">
        <v>8.9999999999999993E-3</v>
      </c>
      <c r="H836" s="64"/>
    </row>
    <row r="837" spans="1:8" x14ac:dyDescent="0.25">
      <c r="A837" s="65">
        <v>43602</v>
      </c>
      <c r="B837" s="66">
        <v>11407.15</v>
      </c>
      <c r="C837" s="66">
        <v>11261.9</v>
      </c>
      <c r="D837" s="66">
        <v>11426.15</v>
      </c>
      <c r="E837" s="66">
        <v>11259.85</v>
      </c>
      <c r="F837" s="67" t="s">
        <v>1878</v>
      </c>
      <c r="G837" s="68">
        <v>1.3299999999999999E-2</v>
      </c>
      <c r="H837" s="64"/>
    </row>
    <row r="838" spans="1:8" x14ac:dyDescent="0.25">
      <c r="A838" s="65">
        <v>43605</v>
      </c>
      <c r="B838" s="66">
        <v>11828.25</v>
      </c>
      <c r="C838" s="66">
        <v>11651.9</v>
      </c>
      <c r="D838" s="66">
        <v>11845.2</v>
      </c>
      <c r="E838" s="66">
        <v>11591.7</v>
      </c>
      <c r="F838" s="67" t="s">
        <v>1877</v>
      </c>
      <c r="G838" s="68">
        <v>3.6900000000000002E-2</v>
      </c>
      <c r="H838" s="64"/>
    </row>
    <row r="839" spans="1:8" x14ac:dyDescent="0.25">
      <c r="A839" s="65">
        <v>43606</v>
      </c>
      <c r="B839" s="66">
        <v>11709.1</v>
      </c>
      <c r="C839" s="66">
        <v>11863.65</v>
      </c>
      <c r="D839" s="66">
        <v>11883.55</v>
      </c>
      <c r="E839" s="66">
        <v>11682.8</v>
      </c>
      <c r="F839" s="67" t="s">
        <v>1876</v>
      </c>
      <c r="G839" s="68">
        <v>-1.01E-2</v>
      </c>
      <c r="H839" s="64"/>
    </row>
    <row r="840" spans="1:8" x14ac:dyDescent="0.25">
      <c r="A840" s="65">
        <v>43607</v>
      </c>
      <c r="B840" s="66">
        <v>11737.9</v>
      </c>
      <c r="C840" s="66">
        <v>11727.95</v>
      </c>
      <c r="D840" s="66">
        <v>11784.8</v>
      </c>
      <c r="E840" s="66">
        <v>11682.4</v>
      </c>
      <c r="F840" s="67" t="s">
        <v>1875</v>
      </c>
      <c r="G840" s="68">
        <v>2.5000000000000001E-3</v>
      </c>
      <c r="H840" s="64"/>
    </row>
    <row r="841" spans="1:8" x14ac:dyDescent="0.25">
      <c r="A841" s="65">
        <v>43608</v>
      </c>
      <c r="B841" s="66">
        <v>11657.05</v>
      </c>
      <c r="C841" s="66">
        <v>11901.3</v>
      </c>
      <c r="D841" s="66">
        <v>12041.15</v>
      </c>
      <c r="E841" s="66">
        <v>11614.5</v>
      </c>
      <c r="F841" s="67" t="s">
        <v>1874</v>
      </c>
      <c r="G841" s="68">
        <v>-6.8999999999999999E-3</v>
      </c>
      <c r="H841" s="64"/>
    </row>
    <row r="842" spans="1:8" x14ac:dyDescent="0.25">
      <c r="A842" s="65">
        <v>43609</v>
      </c>
      <c r="B842" s="66">
        <v>11844.1</v>
      </c>
      <c r="C842" s="66">
        <v>11748</v>
      </c>
      <c r="D842" s="66">
        <v>11859</v>
      </c>
      <c r="E842" s="66">
        <v>11658.1</v>
      </c>
      <c r="F842" s="67" t="s">
        <v>1873</v>
      </c>
      <c r="G842" s="68">
        <v>1.6E-2</v>
      </c>
      <c r="H842" s="64"/>
    </row>
    <row r="843" spans="1:8" x14ac:dyDescent="0.25">
      <c r="A843" s="65">
        <v>43612</v>
      </c>
      <c r="B843" s="66">
        <v>11924.75</v>
      </c>
      <c r="C843" s="66">
        <v>11855.5</v>
      </c>
      <c r="D843" s="66">
        <v>11957.15</v>
      </c>
      <c r="E843" s="66">
        <v>11812.4</v>
      </c>
      <c r="F843" s="67" t="s">
        <v>1872</v>
      </c>
      <c r="G843" s="68">
        <v>6.7999999999999996E-3</v>
      </c>
      <c r="H843" s="64"/>
    </row>
    <row r="844" spans="1:8" x14ac:dyDescent="0.25">
      <c r="A844" s="65">
        <v>43613</v>
      </c>
      <c r="B844" s="66">
        <v>11928.75</v>
      </c>
      <c r="C844" s="66">
        <v>11958.35</v>
      </c>
      <c r="D844" s="66">
        <v>11958.55</v>
      </c>
      <c r="E844" s="66">
        <v>11864.9</v>
      </c>
      <c r="F844" s="67" t="s">
        <v>1871</v>
      </c>
      <c r="G844" s="68">
        <v>2.9999999999999997E-4</v>
      </c>
      <c r="H844" s="64"/>
    </row>
    <row r="845" spans="1:8" x14ac:dyDescent="0.25">
      <c r="A845" s="65">
        <v>43614</v>
      </c>
      <c r="B845" s="66">
        <v>11861.1</v>
      </c>
      <c r="C845" s="66">
        <v>11905.8</v>
      </c>
      <c r="D845" s="66">
        <v>11931.9</v>
      </c>
      <c r="E845" s="66">
        <v>11836.8</v>
      </c>
      <c r="F845" s="67" t="s">
        <v>1870</v>
      </c>
      <c r="G845" s="68">
        <v>-5.7000000000000002E-3</v>
      </c>
      <c r="H845" s="64"/>
    </row>
    <row r="846" spans="1:8" x14ac:dyDescent="0.25">
      <c r="A846" s="65">
        <v>43615</v>
      </c>
      <c r="B846" s="66">
        <v>11945.9</v>
      </c>
      <c r="C846" s="66">
        <v>11865.3</v>
      </c>
      <c r="D846" s="66">
        <v>11968.55</v>
      </c>
      <c r="E846" s="66">
        <v>11859.4</v>
      </c>
      <c r="F846" s="67" t="s">
        <v>1869</v>
      </c>
      <c r="G846" s="68">
        <v>7.1000000000000004E-3</v>
      </c>
      <c r="H846" s="64"/>
    </row>
    <row r="847" spans="1:8" x14ac:dyDescent="0.25">
      <c r="A847" s="65">
        <v>43616</v>
      </c>
      <c r="B847" s="66">
        <v>11922.8</v>
      </c>
      <c r="C847" s="66">
        <v>11999.8</v>
      </c>
      <c r="D847" s="66">
        <v>12039.25</v>
      </c>
      <c r="E847" s="66">
        <v>11829.45</v>
      </c>
      <c r="F847" s="67" t="s">
        <v>1868</v>
      </c>
      <c r="G847" s="68">
        <v>-1.9E-3</v>
      </c>
      <c r="H847" s="64"/>
    </row>
    <row r="848" spans="1:8" x14ac:dyDescent="0.25">
      <c r="A848" s="65">
        <v>43619</v>
      </c>
      <c r="B848" s="66">
        <v>12088.55</v>
      </c>
      <c r="C848" s="66">
        <v>11953.75</v>
      </c>
      <c r="D848" s="66">
        <v>12103.05</v>
      </c>
      <c r="E848" s="66">
        <v>11920.1</v>
      </c>
      <c r="F848" s="67" t="s">
        <v>1867</v>
      </c>
      <c r="G848" s="68">
        <v>1.3899999999999999E-2</v>
      </c>
      <c r="H848" s="64"/>
    </row>
    <row r="849" spans="1:8" x14ac:dyDescent="0.25">
      <c r="A849" s="65">
        <v>43620</v>
      </c>
      <c r="B849" s="66">
        <v>12021.65</v>
      </c>
      <c r="C849" s="66">
        <v>12052.65</v>
      </c>
      <c r="D849" s="66">
        <v>12095.2</v>
      </c>
      <c r="E849" s="66">
        <v>12005.85</v>
      </c>
      <c r="F849" s="67" t="s">
        <v>1866</v>
      </c>
      <c r="G849" s="68">
        <v>-5.4999999999999997E-3</v>
      </c>
      <c r="H849" s="64"/>
    </row>
    <row r="850" spans="1:8" x14ac:dyDescent="0.25">
      <c r="A850" s="65">
        <v>43622</v>
      </c>
      <c r="B850" s="66">
        <v>11843.75</v>
      </c>
      <c r="C850" s="66">
        <v>12039.8</v>
      </c>
      <c r="D850" s="66">
        <v>12039.8</v>
      </c>
      <c r="E850" s="66">
        <v>11830.25</v>
      </c>
      <c r="F850" s="67" t="s">
        <v>1865</v>
      </c>
      <c r="G850" s="68">
        <v>-1.4800000000000001E-2</v>
      </c>
      <c r="H850" s="64"/>
    </row>
    <row r="851" spans="1:8" x14ac:dyDescent="0.25">
      <c r="A851" s="65">
        <v>43623</v>
      </c>
      <c r="B851" s="66">
        <v>11870.65</v>
      </c>
      <c r="C851" s="66">
        <v>11865.2</v>
      </c>
      <c r="D851" s="66">
        <v>11897.5</v>
      </c>
      <c r="E851" s="66">
        <v>11769.5</v>
      </c>
      <c r="F851" s="67" t="s">
        <v>1864</v>
      </c>
      <c r="G851" s="68">
        <v>2.3E-3</v>
      </c>
      <c r="H851" s="64"/>
    </row>
    <row r="852" spans="1:8" x14ac:dyDescent="0.25">
      <c r="A852" s="65">
        <v>43626</v>
      </c>
      <c r="B852" s="66">
        <v>11922.7</v>
      </c>
      <c r="C852" s="66">
        <v>11934.9</v>
      </c>
      <c r="D852" s="66">
        <v>11975.05</v>
      </c>
      <c r="E852" s="66">
        <v>11871.75</v>
      </c>
      <c r="F852" s="67" t="s">
        <v>1863</v>
      </c>
      <c r="G852" s="68">
        <v>4.4000000000000003E-3</v>
      </c>
      <c r="H852" s="64"/>
    </row>
    <row r="853" spans="1:8" x14ac:dyDescent="0.25">
      <c r="A853" s="65">
        <v>43627</v>
      </c>
      <c r="B853" s="66">
        <v>11965.6</v>
      </c>
      <c r="C853" s="66">
        <v>11959.85</v>
      </c>
      <c r="D853" s="66">
        <v>12000.35</v>
      </c>
      <c r="E853" s="66">
        <v>11904.35</v>
      </c>
      <c r="F853" s="67" t="s">
        <v>1862</v>
      </c>
      <c r="G853" s="68">
        <v>3.5999999999999999E-3</v>
      </c>
      <c r="H853" s="64"/>
    </row>
    <row r="854" spans="1:8" x14ac:dyDescent="0.25">
      <c r="A854" s="65">
        <v>43628</v>
      </c>
      <c r="B854" s="66">
        <v>11906.2</v>
      </c>
      <c r="C854" s="66">
        <v>11962.45</v>
      </c>
      <c r="D854" s="66">
        <v>11962.45</v>
      </c>
      <c r="E854" s="66">
        <v>11866.35</v>
      </c>
      <c r="F854" s="67" t="s">
        <v>1861</v>
      </c>
      <c r="G854" s="68">
        <v>-5.0000000000000001E-3</v>
      </c>
      <c r="H854" s="64"/>
    </row>
    <row r="855" spans="1:8" x14ac:dyDescent="0.25">
      <c r="A855" s="65">
        <v>43629</v>
      </c>
      <c r="B855" s="66">
        <v>11914.05</v>
      </c>
      <c r="C855" s="66">
        <v>11873.9</v>
      </c>
      <c r="D855" s="66">
        <v>11931.35</v>
      </c>
      <c r="E855" s="66">
        <v>11817.05</v>
      </c>
      <c r="F855" s="67" t="s">
        <v>1860</v>
      </c>
      <c r="G855" s="68">
        <v>6.9999999999999999E-4</v>
      </c>
      <c r="H855" s="64"/>
    </row>
    <row r="856" spans="1:8" x14ac:dyDescent="0.25">
      <c r="A856" s="65">
        <v>43630</v>
      </c>
      <c r="B856" s="66">
        <v>11823.3</v>
      </c>
      <c r="C856" s="66">
        <v>11910.1</v>
      </c>
      <c r="D856" s="66">
        <v>11911.85</v>
      </c>
      <c r="E856" s="66">
        <v>11797.7</v>
      </c>
      <c r="F856" s="67" t="s">
        <v>1859</v>
      </c>
      <c r="G856" s="68">
        <v>-7.6E-3</v>
      </c>
      <c r="H856" s="64"/>
    </row>
    <row r="857" spans="1:8" x14ac:dyDescent="0.25">
      <c r="A857" s="65">
        <v>43633</v>
      </c>
      <c r="B857" s="66">
        <v>11672.15</v>
      </c>
      <c r="C857" s="66">
        <v>11844</v>
      </c>
      <c r="D857" s="66">
        <v>11844.05</v>
      </c>
      <c r="E857" s="66">
        <v>11657.75</v>
      </c>
      <c r="F857" s="67" t="s">
        <v>1858</v>
      </c>
      <c r="G857" s="68">
        <v>-1.2800000000000001E-2</v>
      </c>
      <c r="H857" s="64"/>
    </row>
    <row r="858" spans="1:8" x14ac:dyDescent="0.25">
      <c r="A858" s="65">
        <v>43634</v>
      </c>
      <c r="B858" s="66">
        <v>11691.5</v>
      </c>
      <c r="C858" s="66">
        <v>11677.05</v>
      </c>
      <c r="D858" s="66">
        <v>11727.2</v>
      </c>
      <c r="E858" s="66">
        <v>11641.15</v>
      </c>
      <c r="F858" s="67" t="s">
        <v>1857</v>
      </c>
      <c r="G858" s="68">
        <v>1.6999999999999999E-3</v>
      </c>
      <c r="H858" s="64"/>
    </row>
    <row r="859" spans="1:8" x14ac:dyDescent="0.25">
      <c r="A859" s="65">
        <v>43635</v>
      </c>
      <c r="B859" s="66">
        <v>11691.45</v>
      </c>
      <c r="C859" s="66">
        <v>11744.45</v>
      </c>
      <c r="D859" s="66">
        <v>11802.5</v>
      </c>
      <c r="E859" s="66">
        <v>11625.1</v>
      </c>
      <c r="F859" s="67" t="s">
        <v>1856</v>
      </c>
      <c r="G859" s="68">
        <v>0</v>
      </c>
      <c r="H859" s="64"/>
    </row>
    <row r="860" spans="1:8" x14ac:dyDescent="0.25">
      <c r="A860" s="65">
        <v>43636</v>
      </c>
      <c r="B860" s="66">
        <v>11831.75</v>
      </c>
      <c r="C860" s="66">
        <v>11653.65</v>
      </c>
      <c r="D860" s="66">
        <v>11843.5</v>
      </c>
      <c r="E860" s="66">
        <v>11635.05</v>
      </c>
      <c r="F860" s="67" t="s">
        <v>1855</v>
      </c>
      <c r="G860" s="68">
        <v>1.2E-2</v>
      </c>
      <c r="H860" s="64"/>
    </row>
    <row r="861" spans="1:8" x14ac:dyDescent="0.25">
      <c r="A861" s="65">
        <v>43637</v>
      </c>
      <c r="B861" s="66">
        <v>11724.1</v>
      </c>
      <c r="C861" s="66">
        <v>11827.6</v>
      </c>
      <c r="D861" s="66">
        <v>11827.95</v>
      </c>
      <c r="E861" s="66">
        <v>11705.1</v>
      </c>
      <c r="F861" s="67" t="s">
        <v>1854</v>
      </c>
      <c r="G861" s="68">
        <v>-9.1000000000000004E-3</v>
      </c>
      <c r="H861" s="64"/>
    </row>
    <row r="862" spans="1:8" x14ac:dyDescent="0.25">
      <c r="A862" s="65">
        <v>43640</v>
      </c>
      <c r="B862" s="66">
        <v>11699.65</v>
      </c>
      <c r="C862" s="66">
        <v>11725.8</v>
      </c>
      <c r="D862" s="66">
        <v>11754</v>
      </c>
      <c r="E862" s="66">
        <v>11670.2</v>
      </c>
      <c r="F862" s="67" t="s">
        <v>1853</v>
      </c>
      <c r="G862" s="68">
        <v>-2.0999999999999999E-3</v>
      </c>
      <c r="H862" s="64"/>
    </row>
    <row r="863" spans="1:8" x14ac:dyDescent="0.25">
      <c r="A863" s="65">
        <v>43641</v>
      </c>
      <c r="B863" s="66">
        <v>11796.45</v>
      </c>
      <c r="C863" s="66">
        <v>11681</v>
      </c>
      <c r="D863" s="66">
        <v>11814.4</v>
      </c>
      <c r="E863" s="66">
        <v>11651</v>
      </c>
      <c r="F863" s="67" t="s">
        <v>1852</v>
      </c>
      <c r="G863" s="68">
        <v>8.3000000000000001E-3</v>
      </c>
      <c r="H863" s="64"/>
    </row>
    <row r="864" spans="1:8" x14ac:dyDescent="0.25">
      <c r="A864" s="65">
        <v>43642</v>
      </c>
      <c r="B864" s="66">
        <v>11847.55</v>
      </c>
      <c r="C864" s="66">
        <v>11768.15</v>
      </c>
      <c r="D864" s="66">
        <v>11871.85</v>
      </c>
      <c r="E864" s="66">
        <v>11757.55</v>
      </c>
      <c r="F864" s="67" t="s">
        <v>1851</v>
      </c>
      <c r="G864" s="68">
        <v>4.3E-3</v>
      </c>
      <c r="H864" s="64"/>
    </row>
    <row r="865" spans="1:8" x14ac:dyDescent="0.25">
      <c r="A865" s="65">
        <v>43643</v>
      </c>
      <c r="B865" s="66">
        <v>11841.55</v>
      </c>
      <c r="C865" s="66">
        <v>11860.85</v>
      </c>
      <c r="D865" s="66">
        <v>11911.15</v>
      </c>
      <c r="E865" s="66">
        <v>11821.05</v>
      </c>
      <c r="F865" s="67" t="s">
        <v>1850</v>
      </c>
      <c r="G865" s="68">
        <v>-5.0000000000000001E-4</v>
      </c>
      <c r="H865" s="64"/>
    </row>
    <row r="866" spans="1:8" x14ac:dyDescent="0.25">
      <c r="A866" s="65">
        <v>43644</v>
      </c>
      <c r="B866" s="66">
        <v>11788.85</v>
      </c>
      <c r="C866" s="66">
        <v>11861.15</v>
      </c>
      <c r="D866" s="66">
        <v>11871.7</v>
      </c>
      <c r="E866" s="66">
        <v>11775.5</v>
      </c>
      <c r="F866" s="67" t="s">
        <v>1849</v>
      </c>
      <c r="G866" s="68">
        <v>-4.4999999999999997E-3</v>
      </c>
      <c r="H866" s="64"/>
    </row>
    <row r="867" spans="1:8" x14ac:dyDescent="0.25">
      <c r="A867" s="65">
        <v>43647</v>
      </c>
      <c r="B867" s="66">
        <v>11865.6</v>
      </c>
      <c r="C867" s="66">
        <v>11839.9</v>
      </c>
      <c r="D867" s="66">
        <v>11884.65</v>
      </c>
      <c r="E867" s="66">
        <v>11830.8</v>
      </c>
      <c r="F867" s="67" t="s">
        <v>1848</v>
      </c>
      <c r="G867" s="68">
        <v>6.4999999999999997E-3</v>
      </c>
      <c r="H867" s="64"/>
    </row>
    <row r="868" spans="1:8" x14ac:dyDescent="0.25">
      <c r="A868" s="65">
        <v>43648</v>
      </c>
      <c r="B868" s="66">
        <v>11910.3</v>
      </c>
      <c r="C868" s="66">
        <v>11890.3</v>
      </c>
      <c r="D868" s="66">
        <v>11917.45</v>
      </c>
      <c r="E868" s="66">
        <v>11814.7</v>
      </c>
      <c r="F868" s="67" t="s">
        <v>1847</v>
      </c>
      <c r="G868" s="68">
        <v>3.8E-3</v>
      </c>
      <c r="H868" s="64"/>
    </row>
    <row r="869" spans="1:8" x14ac:dyDescent="0.25">
      <c r="A869" s="65">
        <v>43649</v>
      </c>
      <c r="B869" s="66">
        <v>11916.75</v>
      </c>
      <c r="C869" s="66">
        <v>11932.15</v>
      </c>
      <c r="D869" s="66">
        <v>11945.2</v>
      </c>
      <c r="E869" s="66">
        <v>11887.05</v>
      </c>
      <c r="F869" s="67" t="s">
        <v>1846</v>
      </c>
      <c r="G869" s="68">
        <v>5.0000000000000001E-4</v>
      </c>
      <c r="H869" s="64"/>
    </row>
    <row r="870" spans="1:8" x14ac:dyDescent="0.25">
      <c r="A870" s="65">
        <v>43650</v>
      </c>
      <c r="B870" s="66">
        <v>11946.75</v>
      </c>
      <c r="C870" s="66">
        <v>11928.8</v>
      </c>
      <c r="D870" s="66">
        <v>11969.25</v>
      </c>
      <c r="E870" s="66">
        <v>11923.65</v>
      </c>
      <c r="F870" s="67" t="s">
        <v>1845</v>
      </c>
      <c r="G870" s="68">
        <v>2.5000000000000001E-3</v>
      </c>
      <c r="H870" s="64"/>
    </row>
    <row r="871" spans="1:8" x14ac:dyDescent="0.25">
      <c r="A871" s="65">
        <v>43651</v>
      </c>
      <c r="B871" s="66">
        <v>11811.15</v>
      </c>
      <c r="C871" s="66">
        <v>11964.75</v>
      </c>
      <c r="D871" s="66">
        <v>11981.75</v>
      </c>
      <c r="E871" s="66">
        <v>11797.9</v>
      </c>
      <c r="F871" s="67" t="s">
        <v>1844</v>
      </c>
      <c r="G871" s="68">
        <v>-1.14E-2</v>
      </c>
      <c r="H871" s="64"/>
    </row>
    <row r="872" spans="1:8" x14ac:dyDescent="0.25">
      <c r="A872" s="65">
        <v>43654</v>
      </c>
      <c r="B872" s="66">
        <v>11558.6</v>
      </c>
      <c r="C872" s="66">
        <v>11770.4</v>
      </c>
      <c r="D872" s="66">
        <v>11771.9</v>
      </c>
      <c r="E872" s="66">
        <v>11523.3</v>
      </c>
      <c r="F872" s="67" t="s">
        <v>1843</v>
      </c>
      <c r="G872" s="68">
        <v>-2.1399999999999999E-2</v>
      </c>
      <c r="H872" s="64"/>
    </row>
    <row r="873" spans="1:8" x14ac:dyDescent="0.25">
      <c r="A873" s="65">
        <v>43655</v>
      </c>
      <c r="B873" s="66">
        <v>11555.9</v>
      </c>
      <c r="C873" s="66">
        <v>11531.6</v>
      </c>
      <c r="D873" s="66">
        <v>11582.55</v>
      </c>
      <c r="E873" s="66">
        <v>11461</v>
      </c>
      <c r="F873" s="67" t="s">
        <v>1842</v>
      </c>
      <c r="G873" s="68">
        <v>-2.0000000000000001E-4</v>
      </c>
      <c r="H873" s="64"/>
    </row>
    <row r="874" spans="1:8" x14ac:dyDescent="0.25">
      <c r="A874" s="65">
        <v>43656</v>
      </c>
      <c r="B874" s="66">
        <v>11498.9</v>
      </c>
      <c r="C874" s="66">
        <v>11536.15</v>
      </c>
      <c r="D874" s="66">
        <v>11593.7</v>
      </c>
      <c r="E874" s="66">
        <v>11475.65</v>
      </c>
      <c r="F874" s="67" t="s">
        <v>1841</v>
      </c>
      <c r="G874" s="68">
        <v>-4.8999999999999998E-3</v>
      </c>
      <c r="H874" s="64"/>
    </row>
    <row r="875" spans="1:8" x14ac:dyDescent="0.25">
      <c r="A875" s="65">
        <v>43657</v>
      </c>
      <c r="B875" s="66">
        <v>11582.9</v>
      </c>
      <c r="C875" s="66">
        <v>11561.45</v>
      </c>
      <c r="D875" s="66">
        <v>11599</v>
      </c>
      <c r="E875" s="66">
        <v>11519.5</v>
      </c>
      <c r="F875" s="67" t="s">
        <v>1840</v>
      </c>
      <c r="G875" s="68">
        <v>7.3000000000000001E-3</v>
      </c>
      <c r="H875" s="64"/>
    </row>
    <row r="876" spans="1:8" x14ac:dyDescent="0.25">
      <c r="A876" s="65">
        <v>43658</v>
      </c>
      <c r="B876" s="66">
        <v>11552.5</v>
      </c>
      <c r="C876" s="66">
        <v>11601.15</v>
      </c>
      <c r="D876" s="66">
        <v>11639.55</v>
      </c>
      <c r="E876" s="66">
        <v>11538.6</v>
      </c>
      <c r="F876" s="67" t="s">
        <v>1839</v>
      </c>
      <c r="G876" s="68">
        <v>-2.5999999999999999E-3</v>
      </c>
      <c r="H876" s="64"/>
    </row>
    <row r="877" spans="1:8" x14ac:dyDescent="0.25">
      <c r="A877" s="65">
        <v>43661</v>
      </c>
      <c r="B877" s="66">
        <v>11588.35</v>
      </c>
      <c r="C877" s="66">
        <v>11614.75</v>
      </c>
      <c r="D877" s="66">
        <v>11618.4</v>
      </c>
      <c r="E877" s="66">
        <v>11532.3</v>
      </c>
      <c r="F877" s="67" t="s">
        <v>1838</v>
      </c>
      <c r="G877" s="68">
        <v>3.0999999999999999E-3</v>
      </c>
      <c r="H877" s="64"/>
    </row>
    <row r="878" spans="1:8" x14ac:dyDescent="0.25">
      <c r="A878" s="65">
        <v>43662</v>
      </c>
      <c r="B878" s="66">
        <v>11662.6</v>
      </c>
      <c r="C878" s="66">
        <v>11596.65</v>
      </c>
      <c r="D878" s="66">
        <v>11670.05</v>
      </c>
      <c r="E878" s="66">
        <v>11573.95</v>
      </c>
      <c r="F878" s="67" t="s">
        <v>1837</v>
      </c>
      <c r="G878" s="68">
        <v>6.4000000000000003E-3</v>
      </c>
      <c r="H878" s="64"/>
    </row>
    <row r="879" spans="1:8" x14ac:dyDescent="0.25">
      <c r="A879" s="65">
        <v>43663</v>
      </c>
      <c r="B879" s="66">
        <v>11687.5</v>
      </c>
      <c r="C879" s="66">
        <v>11670.75</v>
      </c>
      <c r="D879" s="66">
        <v>11706.65</v>
      </c>
      <c r="E879" s="66">
        <v>11651.15</v>
      </c>
      <c r="F879" s="67" t="s">
        <v>1836</v>
      </c>
      <c r="G879" s="68">
        <v>2.0999999999999999E-3</v>
      </c>
      <c r="H879" s="64"/>
    </row>
    <row r="880" spans="1:8" x14ac:dyDescent="0.25">
      <c r="A880" s="65">
        <v>43664</v>
      </c>
      <c r="B880" s="66">
        <v>11596.9</v>
      </c>
      <c r="C880" s="66">
        <v>11675.6</v>
      </c>
      <c r="D880" s="66">
        <v>11677.15</v>
      </c>
      <c r="E880" s="66">
        <v>11582.4</v>
      </c>
      <c r="F880" s="67" t="s">
        <v>1835</v>
      </c>
      <c r="G880" s="68">
        <v>-7.7999999999999996E-3</v>
      </c>
      <c r="H880" s="64"/>
    </row>
    <row r="881" spans="1:8" x14ac:dyDescent="0.25">
      <c r="A881" s="65">
        <v>43665</v>
      </c>
      <c r="B881" s="66">
        <v>11419.25</v>
      </c>
      <c r="C881" s="66">
        <v>11627.95</v>
      </c>
      <c r="D881" s="66">
        <v>11640.35</v>
      </c>
      <c r="E881" s="66">
        <v>11399.3</v>
      </c>
      <c r="F881" s="67" t="s">
        <v>1834</v>
      </c>
      <c r="G881" s="68">
        <v>-1.5299999999999999E-2</v>
      </c>
      <c r="H881" s="64"/>
    </row>
    <row r="882" spans="1:8" x14ac:dyDescent="0.25">
      <c r="A882" s="65">
        <v>43668</v>
      </c>
      <c r="B882" s="66">
        <v>11346.2</v>
      </c>
      <c r="C882" s="66">
        <v>11392.85</v>
      </c>
      <c r="D882" s="66">
        <v>11398.15</v>
      </c>
      <c r="E882" s="66">
        <v>11301.25</v>
      </c>
      <c r="F882" s="67" t="s">
        <v>1833</v>
      </c>
      <c r="G882" s="68">
        <v>-6.4000000000000003E-3</v>
      </c>
      <c r="H882" s="64"/>
    </row>
    <row r="883" spans="1:8" x14ac:dyDescent="0.25">
      <c r="A883" s="65">
        <v>43669</v>
      </c>
      <c r="B883" s="66">
        <v>11331.05</v>
      </c>
      <c r="C883" s="66">
        <v>11372.25</v>
      </c>
      <c r="D883" s="66">
        <v>11398.15</v>
      </c>
      <c r="E883" s="66">
        <v>11302.8</v>
      </c>
      <c r="F883" s="67" t="s">
        <v>1832</v>
      </c>
      <c r="G883" s="68">
        <v>-1.2999999999999999E-3</v>
      </c>
      <c r="H883" s="64"/>
    </row>
    <row r="884" spans="1:8" x14ac:dyDescent="0.25">
      <c r="A884" s="65">
        <v>43670</v>
      </c>
      <c r="B884" s="66">
        <v>11271.3</v>
      </c>
      <c r="C884" s="66">
        <v>11322.45</v>
      </c>
      <c r="D884" s="66">
        <v>11359.75</v>
      </c>
      <c r="E884" s="66">
        <v>11229.8</v>
      </c>
      <c r="F884" s="67" t="s">
        <v>1831</v>
      </c>
      <c r="G884" s="68">
        <v>-5.3E-3</v>
      </c>
      <c r="H884" s="64"/>
    </row>
    <row r="885" spans="1:8" x14ac:dyDescent="0.25">
      <c r="A885" s="65">
        <v>43671</v>
      </c>
      <c r="B885" s="66">
        <v>11252.15</v>
      </c>
      <c r="C885" s="66">
        <v>11290.4</v>
      </c>
      <c r="D885" s="66">
        <v>11361.4</v>
      </c>
      <c r="E885" s="66">
        <v>11239.35</v>
      </c>
      <c r="F885" s="67" t="s">
        <v>1830</v>
      </c>
      <c r="G885" s="68">
        <v>-1.6999999999999999E-3</v>
      </c>
      <c r="H885" s="64"/>
    </row>
    <row r="886" spans="1:8" x14ac:dyDescent="0.25">
      <c r="A886" s="65">
        <v>43672</v>
      </c>
      <c r="B886" s="66">
        <v>11284.3</v>
      </c>
      <c r="C886" s="66">
        <v>11247.45</v>
      </c>
      <c r="D886" s="66">
        <v>11307.6</v>
      </c>
      <c r="E886" s="66">
        <v>11210.05</v>
      </c>
      <c r="F886" s="67" t="s">
        <v>1829</v>
      </c>
      <c r="G886" s="68">
        <v>2.8999999999999998E-3</v>
      </c>
      <c r="H886" s="64"/>
    </row>
    <row r="887" spans="1:8" x14ac:dyDescent="0.25">
      <c r="A887" s="65">
        <v>43675</v>
      </c>
      <c r="B887" s="66">
        <v>11189.2</v>
      </c>
      <c r="C887" s="66">
        <v>11307.5</v>
      </c>
      <c r="D887" s="66">
        <v>11310.95</v>
      </c>
      <c r="E887" s="66">
        <v>11152.4</v>
      </c>
      <c r="F887" s="67" t="s">
        <v>1828</v>
      </c>
      <c r="G887" s="68">
        <v>-8.3999999999999995E-3</v>
      </c>
      <c r="H887" s="64"/>
    </row>
    <row r="888" spans="1:8" x14ac:dyDescent="0.25">
      <c r="A888" s="65">
        <v>43676</v>
      </c>
      <c r="B888" s="66">
        <v>11085.4</v>
      </c>
      <c r="C888" s="66">
        <v>11213.7</v>
      </c>
      <c r="D888" s="66">
        <v>11267.45</v>
      </c>
      <c r="E888" s="66">
        <v>11072.65</v>
      </c>
      <c r="F888" s="67" t="s">
        <v>1827</v>
      </c>
      <c r="G888" s="68">
        <v>-9.2999999999999992E-3</v>
      </c>
      <c r="H888" s="64"/>
    </row>
    <row r="889" spans="1:8" x14ac:dyDescent="0.25">
      <c r="A889" s="65">
        <v>43677</v>
      </c>
      <c r="B889" s="66">
        <v>11118</v>
      </c>
      <c r="C889" s="66">
        <v>11034.05</v>
      </c>
      <c r="D889" s="66">
        <v>11145.3</v>
      </c>
      <c r="E889" s="66">
        <v>10999.4</v>
      </c>
      <c r="F889" s="67" t="s">
        <v>1826</v>
      </c>
      <c r="G889" s="68">
        <v>2.8999999999999998E-3</v>
      </c>
      <c r="H889" s="64"/>
    </row>
    <row r="890" spans="1:8" x14ac:dyDescent="0.25">
      <c r="A890" s="65">
        <v>43678</v>
      </c>
      <c r="B890" s="66">
        <v>10980</v>
      </c>
      <c r="C890" s="66">
        <v>11060.2</v>
      </c>
      <c r="D890" s="66">
        <v>11076.75</v>
      </c>
      <c r="E890" s="66">
        <v>10881</v>
      </c>
      <c r="F890" s="67" t="s">
        <v>1825</v>
      </c>
      <c r="G890" s="68">
        <v>-1.24E-2</v>
      </c>
      <c r="H890" s="64"/>
    </row>
    <row r="891" spans="1:8" x14ac:dyDescent="0.25">
      <c r="A891" s="65">
        <v>43679</v>
      </c>
      <c r="B891" s="66">
        <v>10997.35</v>
      </c>
      <c r="C891" s="66">
        <v>10930.3</v>
      </c>
      <c r="D891" s="66">
        <v>11080.15</v>
      </c>
      <c r="E891" s="66">
        <v>10848.95</v>
      </c>
      <c r="F891" s="67" t="s">
        <v>1824</v>
      </c>
      <c r="G891" s="68">
        <v>1.6000000000000001E-3</v>
      </c>
      <c r="H891" s="64"/>
    </row>
    <row r="892" spans="1:8" x14ac:dyDescent="0.25">
      <c r="A892" s="65">
        <v>43682</v>
      </c>
      <c r="B892" s="66">
        <v>10862.6</v>
      </c>
      <c r="C892" s="66">
        <v>10895.8</v>
      </c>
      <c r="D892" s="66">
        <v>10895.8</v>
      </c>
      <c r="E892" s="66">
        <v>10782.6</v>
      </c>
      <c r="F892" s="67" t="s">
        <v>1823</v>
      </c>
      <c r="G892" s="68">
        <v>-1.23E-2</v>
      </c>
      <c r="H892" s="64"/>
    </row>
    <row r="893" spans="1:8" x14ac:dyDescent="0.25">
      <c r="A893" s="65">
        <v>43683</v>
      </c>
      <c r="B893" s="66">
        <v>10948.25</v>
      </c>
      <c r="C893" s="66">
        <v>10815.4</v>
      </c>
      <c r="D893" s="66">
        <v>11018.55</v>
      </c>
      <c r="E893" s="66">
        <v>10813.8</v>
      </c>
      <c r="F893" s="67" t="s">
        <v>1822</v>
      </c>
      <c r="G893" s="68">
        <v>7.9000000000000008E-3</v>
      </c>
      <c r="H893" s="64"/>
    </row>
    <row r="894" spans="1:8" x14ac:dyDescent="0.25">
      <c r="A894" s="65">
        <v>43684</v>
      </c>
      <c r="B894" s="66">
        <v>10855.5</v>
      </c>
      <c r="C894" s="66">
        <v>10958.1</v>
      </c>
      <c r="D894" s="66">
        <v>10975.65</v>
      </c>
      <c r="E894" s="66">
        <v>10835.9</v>
      </c>
      <c r="F894" s="67" t="s">
        <v>1821</v>
      </c>
      <c r="G894" s="68">
        <v>-8.5000000000000006E-3</v>
      </c>
      <c r="H894" s="64"/>
    </row>
    <row r="895" spans="1:8" x14ac:dyDescent="0.25">
      <c r="A895" s="65">
        <v>43685</v>
      </c>
      <c r="B895" s="66">
        <v>11032.45</v>
      </c>
      <c r="C895" s="66">
        <v>10899.2</v>
      </c>
      <c r="D895" s="66">
        <v>11058.05</v>
      </c>
      <c r="E895" s="66">
        <v>10842.95</v>
      </c>
      <c r="F895" s="67" t="s">
        <v>1820</v>
      </c>
      <c r="G895" s="68">
        <v>1.6299999999999999E-2</v>
      </c>
      <c r="H895" s="64"/>
    </row>
    <row r="896" spans="1:8" x14ac:dyDescent="0.25">
      <c r="A896" s="65">
        <v>43686</v>
      </c>
      <c r="B896" s="66">
        <v>11109.65</v>
      </c>
      <c r="C896" s="66">
        <v>11087.9</v>
      </c>
      <c r="D896" s="66">
        <v>11181.45</v>
      </c>
      <c r="E896" s="66">
        <v>11062.8</v>
      </c>
      <c r="F896" s="67" t="s">
        <v>1819</v>
      </c>
      <c r="G896" s="68">
        <v>7.0000000000000001E-3</v>
      </c>
      <c r="H896" s="64"/>
    </row>
    <row r="897" spans="1:8" x14ac:dyDescent="0.25">
      <c r="A897" s="65">
        <v>43690</v>
      </c>
      <c r="B897" s="66">
        <v>10925.85</v>
      </c>
      <c r="C897" s="66">
        <v>11139.4</v>
      </c>
      <c r="D897" s="66">
        <v>11145.9</v>
      </c>
      <c r="E897" s="66">
        <v>10901.6</v>
      </c>
      <c r="F897" s="67" t="s">
        <v>1818</v>
      </c>
      <c r="G897" s="68">
        <v>-1.6500000000000001E-2</v>
      </c>
      <c r="H897" s="64"/>
    </row>
    <row r="898" spans="1:8" x14ac:dyDescent="0.25">
      <c r="A898" s="65">
        <v>43691</v>
      </c>
      <c r="B898" s="66">
        <v>11029.4</v>
      </c>
      <c r="C898" s="66">
        <v>11003.25</v>
      </c>
      <c r="D898" s="66">
        <v>11078.15</v>
      </c>
      <c r="E898" s="66">
        <v>10935.6</v>
      </c>
      <c r="F898" s="67" t="s">
        <v>1817</v>
      </c>
      <c r="G898" s="68">
        <v>9.4999999999999998E-3</v>
      </c>
      <c r="H898" s="64"/>
    </row>
    <row r="899" spans="1:8" x14ac:dyDescent="0.25">
      <c r="A899" s="65">
        <v>43693</v>
      </c>
      <c r="B899" s="66">
        <v>11047.8</v>
      </c>
      <c r="C899" s="66">
        <v>11043.65</v>
      </c>
      <c r="D899" s="66">
        <v>11068.65</v>
      </c>
      <c r="E899" s="66">
        <v>10924.3</v>
      </c>
      <c r="F899" s="67" t="s">
        <v>1816</v>
      </c>
      <c r="G899" s="68">
        <v>1.6999999999999999E-3</v>
      </c>
      <c r="H899" s="64"/>
    </row>
    <row r="900" spans="1:8" x14ac:dyDescent="0.25">
      <c r="A900" s="65">
        <v>43696</v>
      </c>
      <c r="B900" s="66">
        <v>11053.9</v>
      </c>
      <c r="C900" s="66">
        <v>11094.8</v>
      </c>
      <c r="D900" s="66">
        <v>11146.9</v>
      </c>
      <c r="E900" s="66">
        <v>11037.85</v>
      </c>
      <c r="F900" s="67" t="s">
        <v>1815</v>
      </c>
      <c r="G900" s="68">
        <v>5.9999999999999995E-4</v>
      </c>
      <c r="H900" s="64"/>
    </row>
    <row r="901" spans="1:8" x14ac:dyDescent="0.25">
      <c r="A901" s="65">
        <v>43697</v>
      </c>
      <c r="B901" s="66">
        <v>11017</v>
      </c>
      <c r="C901" s="66">
        <v>11063.9</v>
      </c>
      <c r="D901" s="66">
        <v>11076.3</v>
      </c>
      <c r="E901" s="66">
        <v>10985.3</v>
      </c>
      <c r="F901" s="67" t="s">
        <v>1814</v>
      </c>
      <c r="G901" s="68">
        <v>-3.3E-3</v>
      </c>
      <c r="H901" s="64"/>
    </row>
    <row r="902" spans="1:8" x14ac:dyDescent="0.25">
      <c r="A902" s="65">
        <v>43698</v>
      </c>
      <c r="B902" s="66">
        <v>10918.7</v>
      </c>
      <c r="C902" s="66">
        <v>11018.15</v>
      </c>
      <c r="D902" s="66">
        <v>11034.2</v>
      </c>
      <c r="E902" s="66">
        <v>10906.65</v>
      </c>
      <c r="F902" s="67" t="s">
        <v>1813</v>
      </c>
      <c r="G902" s="68">
        <v>-8.8999999999999999E-3</v>
      </c>
      <c r="H902" s="64"/>
    </row>
    <row r="903" spans="1:8" x14ac:dyDescent="0.25">
      <c r="A903" s="65">
        <v>43699</v>
      </c>
      <c r="B903" s="66">
        <v>10741.35</v>
      </c>
      <c r="C903" s="66">
        <v>10905.3</v>
      </c>
      <c r="D903" s="66">
        <v>10908.25</v>
      </c>
      <c r="E903" s="66">
        <v>10718.3</v>
      </c>
      <c r="F903" s="67" t="s">
        <v>1812</v>
      </c>
      <c r="G903" s="68">
        <v>-1.6199999999999999E-2</v>
      </c>
      <c r="H903" s="64"/>
    </row>
    <row r="904" spans="1:8" x14ac:dyDescent="0.25">
      <c r="A904" s="65">
        <v>43700</v>
      </c>
      <c r="B904" s="66">
        <v>10829.35</v>
      </c>
      <c r="C904" s="66">
        <v>10699.6</v>
      </c>
      <c r="D904" s="66">
        <v>10862.55</v>
      </c>
      <c r="E904" s="66">
        <v>10637.15</v>
      </c>
      <c r="F904" s="67" t="s">
        <v>1811</v>
      </c>
      <c r="G904" s="68">
        <v>8.2000000000000007E-3</v>
      </c>
      <c r="H904" s="64"/>
    </row>
    <row r="905" spans="1:8" x14ac:dyDescent="0.25">
      <c r="A905" s="65">
        <v>43703</v>
      </c>
      <c r="B905" s="66">
        <v>11057.85</v>
      </c>
      <c r="C905" s="66">
        <v>11000.3</v>
      </c>
      <c r="D905" s="66">
        <v>11070.3</v>
      </c>
      <c r="E905" s="66">
        <v>10756.55</v>
      </c>
      <c r="F905" s="67" t="s">
        <v>1810</v>
      </c>
      <c r="G905" s="68">
        <v>2.1100000000000001E-2</v>
      </c>
      <c r="H905" s="64"/>
    </row>
    <row r="906" spans="1:8" x14ac:dyDescent="0.25">
      <c r="A906" s="65">
        <v>43704</v>
      </c>
      <c r="B906" s="66">
        <v>11105.35</v>
      </c>
      <c r="C906" s="66">
        <v>11106.55</v>
      </c>
      <c r="D906" s="66">
        <v>11141.75</v>
      </c>
      <c r="E906" s="66">
        <v>11049.5</v>
      </c>
      <c r="F906" s="67" t="s">
        <v>1809</v>
      </c>
      <c r="G906" s="68">
        <v>4.3E-3</v>
      </c>
      <c r="H906" s="64"/>
    </row>
    <row r="907" spans="1:8" x14ac:dyDescent="0.25">
      <c r="A907" s="65">
        <v>43705</v>
      </c>
      <c r="B907" s="66">
        <v>11046.1</v>
      </c>
      <c r="C907" s="66">
        <v>11101.3</v>
      </c>
      <c r="D907" s="66">
        <v>11129.65</v>
      </c>
      <c r="E907" s="66">
        <v>10987.65</v>
      </c>
      <c r="F907" s="67" t="s">
        <v>1808</v>
      </c>
      <c r="G907" s="68">
        <v>-5.3E-3</v>
      </c>
      <c r="H907" s="64"/>
    </row>
    <row r="908" spans="1:8" x14ac:dyDescent="0.25">
      <c r="A908" s="65">
        <v>43706</v>
      </c>
      <c r="B908" s="66">
        <v>10948.3</v>
      </c>
      <c r="C908" s="66">
        <v>10996.05</v>
      </c>
      <c r="D908" s="66">
        <v>11021.1</v>
      </c>
      <c r="E908" s="66">
        <v>10922.4</v>
      </c>
      <c r="F908" s="67" t="s">
        <v>1807</v>
      </c>
      <c r="G908" s="68">
        <v>-8.8999999999999999E-3</v>
      </c>
      <c r="H908" s="64"/>
    </row>
    <row r="909" spans="1:8" x14ac:dyDescent="0.25">
      <c r="A909" s="65">
        <v>43707</v>
      </c>
      <c r="B909" s="66">
        <v>11023.25</v>
      </c>
      <c r="C909" s="66">
        <v>10987.8</v>
      </c>
      <c r="D909" s="66">
        <v>11042.6</v>
      </c>
      <c r="E909" s="66">
        <v>10874.8</v>
      </c>
      <c r="F909" s="67" t="s">
        <v>1806</v>
      </c>
      <c r="G909" s="68">
        <v>6.7999999999999996E-3</v>
      </c>
      <c r="H909" s="64"/>
    </row>
    <row r="910" spans="1:8" x14ac:dyDescent="0.25">
      <c r="A910" s="65">
        <v>43711</v>
      </c>
      <c r="B910" s="66">
        <v>10797.9</v>
      </c>
      <c r="C910" s="66">
        <v>10960.95</v>
      </c>
      <c r="D910" s="66">
        <v>10967.5</v>
      </c>
      <c r="E910" s="66">
        <v>10772.7</v>
      </c>
      <c r="F910" s="67" t="s">
        <v>1805</v>
      </c>
      <c r="G910" s="68">
        <v>-2.0400000000000001E-2</v>
      </c>
      <c r="H910" s="64"/>
    </row>
    <row r="911" spans="1:8" x14ac:dyDescent="0.25">
      <c r="A911" s="65">
        <v>43712</v>
      </c>
      <c r="B911" s="66">
        <v>10844.65</v>
      </c>
      <c r="C911" s="66">
        <v>10790.4</v>
      </c>
      <c r="D911" s="66">
        <v>10858.75</v>
      </c>
      <c r="E911" s="66">
        <v>10746.35</v>
      </c>
      <c r="F911" s="67" t="s">
        <v>1804</v>
      </c>
      <c r="G911" s="68">
        <v>4.3E-3</v>
      </c>
      <c r="H911" s="64"/>
    </row>
    <row r="912" spans="1:8" x14ac:dyDescent="0.25">
      <c r="A912" s="65">
        <v>43713</v>
      </c>
      <c r="B912" s="66">
        <v>10847.9</v>
      </c>
      <c r="C912" s="66">
        <v>10860.95</v>
      </c>
      <c r="D912" s="66">
        <v>10920.1</v>
      </c>
      <c r="E912" s="66">
        <v>10816</v>
      </c>
      <c r="F912" s="67" t="s">
        <v>1803</v>
      </c>
      <c r="G912" s="68">
        <v>2.9999999999999997E-4</v>
      </c>
      <c r="H912" s="64"/>
    </row>
    <row r="913" spans="1:8" x14ac:dyDescent="0.25">
      <c r="A913" s="65">
        <v>43714</v>
      </c>
      <c r="B913" s="66">
        <v>10946.2</v>
      </c>
      <c r="C913" s="66">
        <v>10883.8</v>
      </c>
      <c r="D913" s="66">
        <v>10957.05</v>
      </c>
      <c r="E913" s="66">
        <v>10867.45</v>
      </c>
      <c r="F913" s="67" t="s">
        <v>1802</v>
      </c>
      <c r="G913" s="68">
        <v>9.1000000000000004E-3</v>
      </c>
      <c r="H913" s="64"/>
    </row>
    <row r="914" spans="1:8" x14ac:dyDescent="0.25">
      <c r="A914" s="65">
        <v>43717</v>
      </c>
      <c r="B914" s="66">
        <v>11003.05</v>
      </c>
      <c r="C914" s="66">
        <v>10936.7</v>
      </c>
      <c r="D914" s="66">
        <v>11028.85</v>
      </c>
      <c r="E914" s="66">
        <v>10889.8</v>
      </c>
      <c r="F914" s="67" t="s">
        <v>1801</v>
      </c>
      <c r="G914" s="68">
        <v>5.1999999999999998E-3</v>
      </c>
      <c r="H914" s="64"/>
    </row>
    <row r="915" spans="1:8" x14ac:dyDescent="0.25">
      <c r="A915" s="65">
        <v>43719</v>
      </c>
      <c r="B915" s="66">
        <v>11035.7</v>
      </c>
      <c r="C915" s="66">
        <v>11028.5</v>
      </c>
      <c r="D915" s="66">
        <v>11054.8</v>
      </c>
      <c r="E915" s="66">
        <v>11011.65</v>
      </c>
      <c r="F915" s="67" t="s">
        <v>1800</v>
      </c>
      <c r="G915" s="68">
        <v>3.0000000000000001E-3</v>
      </c>
      <c r="H915" s="64"/>
    </row>
    <row r="916" spans="1:8" x14ac:dyDescent="0.25">
      <c r="A916" s="65">
        <v>43720</v>
      </c>
      <c r="B916" s="66">
        <v>10982.8</v>
      </c>
      <c r="C916" s="66">
        <v>11058.3</v>
      </c>
      <c r="D916" s="66">
        <v>11081.75</v>
      </c>
      <c r="E916" s="66">
        <v>10964.95</v>
      </c>
      <c r="F916" s="67" t="s">
        <v>1799</v>
      </c>
      <c r="G916" s="68">
        <v>-4.7999999999999996E-3</v>
      </c>
      <c r="H916" s="64"/>
    </row>
    <row r="917" spans="1:8" x14ac:dyDescent="0.25">
      <c r="A917" s="65">
        <v>43721</v>
      </c>
      <c r="B917" s="66">
        <v>11075.9</v>
      </c>
      <c r="C917" s="66">
        <v>10986.8</v>
      </c>
      <c r="D917" s="66">
        <v>11084.45</v>
      </c>
      <c r="E917" s="66">
        <v>10945.75</v>
      </c>
      <c r="F917" s="67" t="s">
        <v>1798</v>
      </c>
      <c r="G917" s="68">
        <v>8.5000000000000006E-3</v>
      </c>
      <c r="H917" s="64"/>
    </row>
    <row r="918" spans="1:8" x14ac:dyDescent="0.25">
      <c r="A918" s="65">
        <v>43724</v>
      </c>
      <c r="B918" s="66">
        <v>11003.5</v>
      </c>
      <c r="C918" s="66">
        <v>10994.85</v>
      </c>
      <c r="D918" s="66">
        <v>11052.7</v>
      </c>
      <c r="E918" s="66">
        <v>10968.2</v>
      </c>
      <c r="F918" s="67" t="s">
        <v>1797</v>
      </c>
      <c r="G918" s="68">
        <v>-6.4999999999999997E-3</v>
      </c>
      <c r="H918" s="64"/>
    </row>
    <row r="919" spans="1:8" x14ac:dyDescent="0.25">
      <c r="A919" s="65">
        <v>43725</v>
      </c>
      <c r="B919" s="66">
        <v>10817.6</v>
      </c>
      <c r="C919" s="66">
        <v>11000.1</v>
      </c>
      <c r="D919" s="66">
        <v>11000.1</v>
      </c>
      <c r="E919" s="66">
        <v>10796.5</v>
      </c>
      <c r="F919" s="67" t="s">
        <v>1796</v>
      </c>
      <c r="G919" s="68">
        <v>-1.6899999999999998E-2</v>
      </c>
      <c r="H919" s="64"/>
    </row>
    <row r="920" spans="1:8" x14ac:dyDescent="0.25">
      <c r="A920" s="65">
        <v>43726</v>
      </c>
      <c r="B920" s="66">
        <v>10840.65</v>
      </c>
      <c r="C920" s="66">
        <v>10872.8</v>
      </c>
      <c r="D920" s="66">
        <v>10885.15</v>
      </c>
      <c r="E920" s="66">
        <v>10804.85</v>
      </c>
      <c r="F920" s="67" t="s">
        <v>1795</v>
      </c>
      <c r="G920" s="68">
        <v>2.0999999999999999E-3</v>
      </c>
      <c r="H920" s="64"/>
    </row>
    <row r="921" spans="1:8" x14ac:dyDescent="0.25">
      <c r="A921" s="65">
        <v>43727</v>
      </c>
      <c r="B921" s="66">
        <v>10704.8</v>
      </c>
      <c r="C921" s="66">
        <v>10845.2</v>
      </c>
      <c r="D921" s="66">
        <v>10845.2</v>
      </c>
      <c r="E921" s="66">
        <v>10670.25</v>
      </c>
      <c r="F921" s="67" t="s">
        <v>1794</v>
      </c>
      <c r="G921" s="68">
        <v>-1.2500000000000001E-2</v>
      </c>
      <c r="H921" s="64"/>
    </row>
    <row r="922" spans="1:8" x14ac:dyDescent="0.25">
      <c r="A922" s="65">
        <v>43728</v>
      </c>
      <c r="B922" s="66">
        <v>11274.2</v>
      </c>
      <c r="C922" s="66">
        <v>10746.8</v>
      </c>
      <c r="D922" s="66">
        <v>11381.9</v>
      </c>
      <c r="E922" s="66">
        <v>10691</v>
      </c>
      <c r="F922" s="67" t="s">
        <v>1793</v>
      </c>
      <c r="G922" s="68">
        <v>5.3199999999999997E-2</v>
      </c>
      <c r="H922" s="64"/>
    </row>
    <row r="923" spans="1:8" x14ac:dyDescent="0.25">
      <c r="A923" s="65">
        <v>43731</v>
      </c>
      <c r="B923" s="66">
        <v>11600.2</v>
      </c>
      <c r="C923" s="66">
        <v>11542.7</v>
      </c>
      <c r="D923" s="66">
        <v>11694.85</v>
      </c>
      <c r="E923" s="66">
        <v>11471.35</v>
      </c>
      <c r="F923" s="67" t="s">
        <v>1792</v>
      </c>
      <c r="G923" s="68">
        <v>2.8899999999999999E-2</v>
      </c>
      <c r="H923" s="64"/>
    </row>
    <row r="924" spans="1:8" x14ac:dyDescent="0.25">
      <c r="A924" s="65">
        <v>43732</v>
      </c>
      <c r="B924" s="66">
        <v>11588.2</v>
      </c>
      <c r="C924" s="66">
        <v>11590.7</v>
      </c>
      <c r="D924" s="66">
        <v>11655.05</v>
      </c>
      <c r="E924" s="66">
        <v>11539.2</v>
      </c>
      <c r="F924" s="67" t="s">
        <v>1791</v>
      </c>
      <c r="G924" s="68">
        <v>-1E-3</v>
      </c>
      <c r="H924" s="64"/>
    </row>
    <row r="925" spans="1:8" x14ac:dyDescent="0.25">
      <c r="A925" s="65">
        <v>43733</v>
      </c>
      <c r="B925" s="66">
        <v>11440.2</v>
      </c>
      <c r="C925" s="66">
        <v>11564.85</v>
      </c>
      <c r="D925" s="66">
        <v>11564.95</v>
      </c>
      <c r="E925" s="66">
        <v>11416.1</v>
      </c>
      <c r="F925" s="67" t="s">
        <v>1790</v>
      </c>
      <c r="G925" s="68">
        <v>-1.2800000000000001E-2</v>
      </c>
      <c r="H925" s="64"/>
    </row>
    <row r="926" spans="1:8" x14ac:dyDescent="0.25">
      <c r="A926" s="65">
        <v>43734</v>
      </c>
      <c r="B926" s="66">
        <v>11571.2</v>
      </c>
      <c r="C926" s="66">
        <v>11469.85</v>
      </c>
      <c r="D926" s="66">
        <v>11610.85</v>
      </c>
      <c r="E926" s="66">
        <v>11466.35</v>
      </c>
      <c r="F926" s="67" t="s">
        <v>1789</v>
      </c>
      <c r="G926" s="68">
        <v>1.15E-2</v>
      </c>
      <c r="H926" s="64"/>
    </row>
    <row r="927" spans="1:8" x14ac:dyDescent="0.25">
      <c r="A927" s="65">
        <v>43735</v>
      </c>
      <c r="B927" s="66">
        <v>11512.4</v>
      </c>
      <c r="C927" s="66">
        <v>11556.35</v>
      </c>
      <c r="D927" s="66">
        <v>11593.6</v>
      </c>
      <c r="E927" s="66">
        <v>11499.75</v>
      </c>
      <c r="F927" s="67" t="s">
        <v>1788</v>
      </c>
      <c r="G927" s="68">
        <v>-5.1000000000000004E-3</v>
      </c>
      <c r="H927" s="64"/>
    </row>
    <row r="928" spans="1:8" x14ac:dyDescent="0.25">
      <c r="A928" s="65">
        <v>43738</v>
      </c>
      <c r="B928" s="66">
        <v>11474.45</v>
      </c>
      <c r="C928" s="66">
        <v>11491.15</v>
      </c>
      <c r="D928" s="66">
        <v>11508.25</v>
      </c>
      <c r="E928" s="66">
        <v>11390.8</v>
      </c>
      <c r="F928" s="67" t="s">
        <v>1787</v>
      </c>
      <c r="G928" s="68">
        <v>-3.3E-3</v>
      </c>
      <c r="H928" s="64"/>
    </row>
    <row r="929" spans="1:8" x14ac:dyDescent="0.25">
      <c r="A929" s="65">
        <v>43739</v>
      </c>
      <c r="B929" s="66">
        <v>11359.9</v>
      </c>
      <c r="C929" s="66">
        <v>11515.4</v>
      </c>
      <c r="D929" s="66">
        <v>11554.2</v>
      </c>
      <c r="E929" s="66">
        <v>11247.9</v>
      </c>
      <c r="F929" s="67" t="s">
        <v>1786</v>
      </c>
      <c r="G929" s="68">
        <v>-0.01</v>
      </c>
      <c r="H929" s="64"/>
    </row>
    <row r="930" spans="1:8" x14ac:dyDescent="0.25">
      <c r="A930" s="65">
        <v>43741</v>
      </c>
      <c r="B930" s="66">
        <v>11314</v>
      </c>
      <c r="C930" s="66">
        <v>11322.25</v>
      </c>
      <c r="D930" s="66">
        <v>11370.4</v>
      </c>
      <c r="E930" s="66">
        <v>11257.35</v>
      </c>
      <c r="F930" s="67" t="s">
        <v>1785</v>
      </c>
      <c r="G930" s="68">
        <v>-4.0000000000000001E-3</v>
      </c>
      <c r="H930" s="64"/>
    </row>
    <row r="931" spans="1:8" x14ac:dyDescent="0.25">
      <c r="A931" s="65">
        <v>43742</v>
      </c>
      <c r="B931" s="66">
        <v>11174.75</v>
      </c>
      <c r="C931" s="66">
        <v>11388.45</v>
      </c>
      <c r="D931" s="66">
        <v>11400.3</v>
      </c>
      <c r="E931" s="66">
        <v>11158.35</v>
      </c>
      <c r="F931" s="67" t="s">
        <v>1784</v>
      </c>
      <c r="G931" s="68">
        <v>-1.23E-2</v>
      </c>
      <c r="H931" s="64"/>
    </row>
    <row r="932" spans="1:8" x14ac:dyDescent="0.25">
      <c r="A932" s="65">
        <v>43745</v>
      </c>
      <c r="B932" s="66">
        <v>11126.4</v>
      </c>
      <c r="C932" s="66">
        <v>11196.2</v>
      </c>
      <c r="D932" s="66">
        <v>11233.85</v>
      </c>
      <c r="E932" s="66">
        <v>11112.65</v>
      </c>
      <c r="F932" s="67" t="s">
        <v>1783</v>
      </c>
      <c r="G932" s="68">
        <v>-4.3E-3</v>
      </c>
      <c r="H932" s="64"/>
    </row>
    <row r="933" spans="1:8" x14ac:dyDescent="0.25">
      <c r="A933" s="65">
        <v>43747</v>
      </c>
      <c r="B933" s="66">
        <v>11313.3</v>
      </c>
      <c r="C933" s="66">
        <v>11152.95</v>
      </c>
      <c r="D933" s="66">
        <v>11321.6</v>
      </c>
      <c r="E933" s="66">
        <v>11090.15</v>
      </c>
      <c r="F933" s="67" t="s">
        <v>1782</v>
      </c>
      <c r="G933" s="68">
        <v>1.6799999999999999E-2</v>
      </c>
      <c r="H933" s="64"/>
    </row>
    <row r="934" spans="1:8" x14ac:dyDescent="0.25">
      <c r="A934" s="65">
        <v>43748</v>
      </c>
      <c r="B934" s="66">
        <v>11234.55</v>
      </c>
      <c r="C934" s="66">
        <v>11280.5</v>
      </c>
      <c r="D934" s="66">
        <v>11293.35</v>
      </c>
      <c r="E934" s="66">
        <v>11208.55</v>
      </c>
      <c r="F934" s="67" t="s">
        <v>1781</v>
      </c>
      <c r="G934" s="68">
        <v>-7.0000000000000001E-3</v>
      </c>
      <c r="H934" s="64"/>
    </row>
    <row r="935" spans="1:8" x14ac:dyDescent="0.25">
      <c r="A935" s="65">
        <v>43749</v>
      </c>
      <c r="B935" s="66">
        <v>11305.05</v>
      </c>
      <c r="C935" s="66">
        <v>11257.7</v>
      </c>
      <c r="D935" s="66">
        <v>11362.9</v>
      </c>
      <c r="E935" s="66">
        <v>11189.4</v>
      </c>
      <c r="F935" s="67" t="s">
        <v>1780</v>
      </c>
      <c r="G935" s="68">
        <v>6.3E-3</v>
      </c>
      <c r="H935" s="64"/>
    </row>
    <row r="936" spans="1:8" x14ac:dyDescent="0.25">
      <c r="A936" s="65">
        <v>43752</v>
      </c>
      <c r="B936" s="66">
        <v>11341.15</v>
      </c>
      <c r="C936" s="66">
        <v>11335.9</v>
      </c>
      <c r="D936" s="66">
        <v>11420.45</v>
      </c>
      <c r="E936" s="66">
        <v>11290.05</v>
      </c>
      <c r="F936" s="67" t="s">
        <v>1779</v>
      </c>
      <c r="G936" s="68">
        <v>3.2000000000000002E-3</v>
      </c>
      <c r="H936" s="64"/>
    </row>
    <row r="937" spans="1:8" x14ac:dyDescent="0.25">
      <c r="A937" s="65">
        <v>43753</v>
      </c>
      <c r="B937" s="66">
        <v>11428.3</v>
      </c>
      <c r="C937" s="66">
        <v>11360.85</v>
      </c>
      <c r="D937" s="66">
        <v>11462.35</v>
      </c>
      <c r="E937" s="66">
        <v>11342.1</v>
      </c>
      <c r="F937" s="67" t="s">
        <v>1778</v>
      </c>
      <c r="G937" s="68">
        <v>7.7000000000000002E-3</v>
      </c>
      <c r="H937" s="64"/>
    </row>
    <row r="938" spans="1:8" x14ac:dyDescent="0.25">
      <c r="A938" s="65">
        <v>43754</v>
      </c>
      <c r="B938" s="66">
        <v>11464</v>
      </c>
      <c r="C938" s="66">
        <v>11464.95</v>
      </c>
      <c r="D938" s="66">
        <v>11481.05</v>
      </c>
      <c r="E938" s="66">
        <v>11411.1</v>
      </c>
      <c r="F938" s="67" t="s">
        <v>1777</v>
      </c>
      <c r="G938" s="68">
        <v>3.0999999999999999E-3</v>
      </c>
      <c r="H938" s="64"/>
    </row>
    <row r="939" spans="1:8" x14ac:dyDescent="0.25">
      <c r="A939" s="65">
        <v>43755</v>
      </c>
      <c r="B939" s="66">
        <v>11586.35</v>
      </c>
      <c r="C939" s="66">
        <v>11466.3</v>
      </c>
      <c r="D939" s="66">
        <v>11599.1</v>
      </c>
      <c r="E939" s="66">
        <v>11439.65</v>
      </c>
      <c r="F939" s="67" t="s">
        <v>1776</v>
      </c>
      <c r="G939" s="68">
        <v>1.0699999999999999E-2</v>
      </c>
      <c r="H939" s="64"/>
    </row>
    <row r="940" spans="1:8" x14ac:dyDescent="0.25">
      <c r="A940" s="65">
        <v>43756</v>
      </c>
      <c r="B940" s="66">
        <v>11661.85</v>
      </c>
      <c r="C940" s="66">
        <v>11580.3</v>
      </c>
      <c r="D940" s="66">
        <v>11684.7</v>
      </c>
      <c r="E940" s="66">
        <v>11553.15</v>
      </c>
      <c r="F940" s="67" t="s">
        <v>1775</v>
      </c>
      <c r="G940" s="68">
        <v>6.4999999999999997E-3</v>
      </c>
      <c r="H940" s="64"/>
    </row>
    <row r="941" spans="1:8" x14ac:dyDescent="0.25">
      <c r="A941" s="65">
        <v>43760</v>
      </c>
      <c r="B941" s="66">
        <v>11588.35</v>
      </c>
      <c r="C941" s="66">
        <v>11657.15</v>
      </c>
      <c r="D941" s="66">
        <v>11714.35</v>
      </c>
      <c r="E941" s="66">
        <v>11573.65</v>
      </c>
      <c r="F941" s="67" t="s">
        <v>1774</v>
      </c>
      <c r="G941" s="68">
        <v>-6.3E-3</v>
      </c>
      <c r="H941" s="64"/>
    </row>
    <row r="942" spans="1:8" x14ac:dyDescent="0.25">
      <c r="A942" s="65">
        <v>43761</v>
      </c>
      <c r="B942" s="66">
        <v>11604.1</v>
      </c>
      <c r="C942" s="66">
        <v>11596.2</v>
      </c>
      <c r="D942" s="66">
        <v>11651.6</v>
      </c>
      <c r="E942" s="66">
        <v>11554.4</v>
      </c>
      <c r="F942" s="67" t="s">
        <v>1773</v>
      </c>
      <c r="G942" s="68">
        <v>1.4E-3</v>
      </c>
      <c r="H942" s="64"/>
    </row>
    <row r="943" spans="1:8" x14ac:dyDescent="0.25">
      <c r="A943" s="65">
        <v>43762</v>
      </c>
      <c r="B943" s="66">
        <v>11582.6</v>
      </c>
      <c r="C943" s="66">
        <v>11661.65</v>
      </c>
      <c r="D943" s="66">
        <v>11679.6</v>
      </c>
      <c r="E943" s="66">
        <v>11534.65</v>
      </c>
      <c r="F943" s="67" t="s">
        <v>1772</v>
      </c>
      <c r="G943" s="68">
        <v>-1.9E-3</v>
      </c>
      <c r="H943" s="64"/>
    </row>
    <row r="944" spans="1:8" x14ac:dyDescent="0.25">
      <c r="A944" s="65">
        <v>43763</v>
      </c>
      <c r="B944" s="66">
        <v>11583.9</v>
      </c>
      <c r="C944" s="66">
        <v>11646.15</v>
      </c>
      <c r="D944" s="66">
        <v>11646.9</v>
      </c>
      <c r="E944" s="66">
        <v>11490.75</v>
      </c>
      <c r="F944" s="67" t="s">
        <v>1771</v>
      </c>
      <c r="G944" s="68">
        <v>1E-4</v>
      </c>
      <c r="H944" s="64"/>
    </row>
    <row r="945" spans="1:8" x14ac:dyDescent="0.25">
      <c r="A945" s="65">
        <v>43765</v>
      </c>
      <c r="B945" s="66">
        <v>11627.15</v>
      </c>
      <c r="C945" s="66">
        <v>11662.25</v>
      </c>
      <c r="D945" s="66">
        <v>11672.4</v>
      </c>
      <c r="E945" s="66">
        <v>11604.6</v>
      </c>
      <c r="F945" s="67" t="s">
        <v>1770</v>
      </c>
      <c r="G945" s="68">
        <v>3.7000000000000002E-3</v>
      </c>
      <c r="H945" s="64"/>
    </row>
    <row r="946" spans="1:8" x14ac:dyDescent="0.25">
      <c r="A946" s="65">
        <v>43767</v>
      </c>
      <c r="B946" s="66">
        <v>11786.85</v>
      </c>
      <c r="C946" s="66">
        <v>11643.95</v>
      </c>
      <c r="D946" s="66">
        <v>11809.4</v>
      </c>
      <c r="E946" s="66">
        <v>11627.35</v>
      </c>
      <c r="F946" s="67" t="s">
        <v>1769</v>
      </c>
      <c r="G946" s="68">
        <v>1.37E-2</v>
      </c>
      <c r="H946" s="64"/>
    </row>
    <row r="947" spans="1:8" x14ac:dyDescent="0.25">
      <c r="A947" s="65">
        <v>43768</v>
      </c>
      <c r="B947" s="66">
        <v>11844.1</v>
      </c>
      <c r="C947" s="66">
        <v>11883.9</v>
      </c>
      <c r="D947" s="66">
        <v>11883.95</v>
      </c>
      <c r="E947" s="66">
        <v>11784.45</v>
      </c>
      <c r="F947" s="67" t="s">
        <v>1768</v>
      </c>
      <c r="G947" s="68">
        <v>4.8999999999999998E-3</v>
      </c>
      <c r="H947" s="64"/>
    </row>
    <row r="948" spans="1:8" x14ac:dyDescent="0.25">
      <c r="A948" s="65">
        <v>43769</v>
      </c>
      <c r="B948" s="66">
        <v>11877.45</v>
      </c>
      <c r="C948" s="66">
        <v>11890.45</v>
      </c>
      <c r="D948" s="66">
        <v>11945</v>
      </c>
      <c r="E948" s="66">
        <v>11855.1</v>
      </c>
      <c r="F948" s="67" t="s">
        <v>1767</v>
      </c>
      <c r="G948" s="68">
        <v>2.8E-3</v>
      </c>
      <c r="H948" s="64"/>
    </row>
    <row r="949" spans="1:8" x14ac:dyDescent="0.25">
      <c r="A949" s="65">
        <v>43770</v>
      </c>
      <c r="B949" s="66">
        <v>11890.6</v>
      </c>
      <c r="C949" s="66">
        <v>11886.6</v>
      </c>
      <c r="D949" s="66">
        <v>11918.3</v>
      </c>
      <c r="E949" s="66">
        <v>11843.35</v>
      </c>
      <c r="F949" s="67" t="s">
        <v>1766</v>
      </c>
      <c r="G949" s="68">
        <v>1.1000000000000001E-3</v>
      </c>
      <c r="H949" s="64"/>
    </row>
    <row r="950" spans="1:8" x14ac:dyDescent="0.25">
      <c r="A950" s="65">
        <v>43773</v>
      </c>
      <c r="B950" s="66">
        <v>11941.3</v>
      </c>
      <c r="C950" s="66">
        <v>11928.9</v>
      </c>
      <c r="D950" s="66">
        <v>11989.15</v>
      </c>
      <c r="E950" s="66">
        <v>11905.35</v>
      </c>
      <c r="F950" s="67" t="s">
        <v>1765</v>
      </c>
      <c r="G950" s="68">
        <v>4.3E-3</v>
      </c>
      <c r="H950" s="64"/>
    </row>
    <row r="951" spans="1:8" x14ac:dyDescent="0.25">
      <c r="A951" s="65">
        <v>43774</v>
      </c>
      <c r="B951" s="66">
        <v>11917.2</v>
      </c>
      <c r="C951" s="66">
        <v>11974.6</v>
      </c>
      <c r="D951" s="66">
        <v>11978.95</v>
      </c>
      <c r="E951" s="66">
        <v>11861.9</v>
      </c>
      <c r="F951" s="67" t="s">
        <v>1764</v>
      </c>
      <c r="G951" s="68">
        <v>-2E-3</v>
      </c>
      <c r="H951" s="64"/>
    </row>
    <row r="952" spans="1:8" x14ac:dyDescent="0.25">
      <c r="A952" s="65">
        <v>43775</v>
      </c>
      <c r="B952" s="66">
        <v>11966.05</v>
      </c>
      <c r="C952" s="66">
        <v>11911.5</v>
      </c>
      <c r="D952" s="66">
        <v>12002.9</v>
      </c>
      <c r="E952" s="66">
        <v>11850.25</v>
      </c>
      <c r="F952" s="67" t="s">
        <v>1763</v>
      </c>
      <c r="G952" s="68">
        <v>4.1000000000000003E-3</v>
      </c>
      <c r="H952" s="64"/>
    </row>
    <row r="953" spans="1:8" x14ac:dyDescent="0.25">
      <c r="A953" s="65">
        <v>43776</v>
      </c>
      <c r="B953" s="66">
        <v>12012.05</v>
      </c>
      <c r="C953" s="66">
        <v>12021.1</v>
      </c>
      <c r="D953" s="66">
        <v>12021.4</v>
      </c>
      <c r="E953" s="66">
        <v>11946.85</v>
      </c>
      <c r="F953" s="67" t="s">
        <v>1762</v>
      </c>
      <c r="G953" s="68">
        <v>3.8E-3</v>
      </c>
      <c r="H953" s="64"/>
    </row>
    <row r="954" spans="1:8" x14ac:dyDescent="0.25">
      <c r="A954" s="65">
        <v>43777</v>
      </c>
      <c r="B954" s="66">
        <v>11908.15</v>
      </c>
      <c r="C954" s="66">
        <v>11987.15</v>
      </c>
      <c r="D954" s="66">
        <v>12034.15</v>
      </c>
      <c r="E954" s="66">
        <v>11888.75</v>
      </c>
      <c r="F954" s="67" t="s">
        <v>1761</v>
      </c>
      <c r="G954" s="68">
        <v>-8.6E-3</v>
      </c>
      <c r="H954" s="64"/>
    </row>
    <row r="955" spans="1:8" x14ac:dyDescent="0.25">
      <c r="A955" s="65">
        <v>43780</v>
      </c>
      <c r="B955" s="66">
        <v>11913.45</v>
      </c>
      <c r="C955" s="66">
        <v>11879.2</v>
      </c>
      <c r="D955" s="66">
        <v>11932.65</v>
      </c>
      <c r="E955" s="66">
        <v>11853.95</v>
      </c>
      <c r="F955" s="67" t="s">
        <v>1760</v>
      </c>
      <c r="G955" s="68">
        <v>4.0000000000000002E-4</v>
      </c>
      <c r="H955" s="64"/>
    </row>
    <row r="956" spans="1:8" x14ac:dyDescent="0.25">
      <c r="A956" s="65">
        <v>43782</v>
      </c>
      <c r="B956" s="66">
        <v>11840.45</v>
      </c>
      <c r="C956" s="66">
        <v>11908.3</v>
      </c>
      <c r="D956" s="66">
        <v>11946.8</v>
      </c>
      <c r="E956" s="66">
        <v>11823.2</v>
      </c>
      <c r="F956" s="67" t="s">
        <v>1759</v>
      </c>
      <c r="G956" s="68">
        <v>-6.1000000000000004E-3</v>
      </c>
      <c r="H956" s="64"/>
    </row>
    <row r="957" spans="1:8" x14ac:dyDescent="0.25">
      <c r="A957" s="65">
        <v>43783</v>
      </c>
      <c r="B957" s="66">
        <v>11872.1</v>
      </c>
      <c r="C957" s="66">
        <v>11858.75</v>
      </c>
      <c r="D957" s="66">
        <v>11895.65</v>
      </c>
      <c r="E957" s="66">
        <v>11802.65</v>
      </c>
      <c r="F957" s="67" t="s">
        <v>1758</v>
      </c>
      <c r="G957" s="68">
        <v>2.7000000000000001E-3</v>
      </c>
      <c r="H957" s="64"/>
    </row>
    <row r="958" spans="1:8" x14ac:dyDescent="0.25">
      <c r="A958" s="65">
        <v>43784</v>
      </c>
      <c r="B958" s="66">
        <v>11895.45</v>
      </c>
      <c r="C958" s="66">
        <v>11904.2</v>
      </c>
      <c r="D958" s="66">
        <v>11973.65</v>
      </c>
      <c r="E958" s="66">
        <v>11879.25</v>
      </c>
      <c r="F958" s="67" t="s">
        <v>1757</v>
      </c>
      <c r="G958" s="68">
        <v>2E-3</v>
      </c>
      <c r="H958" s="64"/>
    </row>
    <row r="959" spans="1:8" x14ac:dyDescent="0.25">
      <c r="A959" s="65">
        <v>43787</v>
      </c>
      <c r="B959" s="66">
        <v>11884.5</v>
      </c>
      <c r="C959" s="66">
        <v>11915.15</v>
      </c>
      <c r="D959" s="66">
        <v>11946.2</v>
      </c>
      <c r="E959" s="66">
        <v>11867.6</v>
      </c>
      <c r="F959" s="67" t="s">
        <v>1756</v>
      </c>
      <c r="G959" s="68">
        <v>-8.9999999999999998E-4</v>
      </c>
      <c r="H959" s="64"/>
    </row>
    <row r="960" spans="1:8" x14ac:dyDescent="0.25">
      <c r="A960" s="65">
        <v>43788</v>
      </c>
      <c r="B960" s="66">
        <v>11940.1</v>
      </c>
      <c r="C960" s="66">
        <v>11919.45</v>
      </c>
      <c r="D960" s="66">
        <v>11958.85</v>
      </c>
      <c r="E960" s="66">
        <v>11881.75</v>
      </c>
      <c r="F960" s="67" t="s">
        <v>1755</v>
      </c>
      <c r="G960" s="68">
        <v>4.7000000000000002E-3</v>
      </c>
      <c r="H960" s="64"/>
    </row>
    <row r="961" spans="1:8" x14ac:dyDescent="0.25">
      <c r="A961" s="65">
        <v>43789</v>
      </c>
      <c r="B961" s="66">
        <v>11999.1</v>
      </c>
      <c r="C961" s="66">
        <v>12004.75</v>
      </c>
      <c r="D961" s="66">
        <v>12038.6</v>
      </c>
      <c r="E961" s="66">
        <v>11966.05</v>
      </c>
      <c r="F961" s="67" t="s">
        <v>1754</v>
      </c>
      <c r="G961" s="68">
        <v>4.8999999999999998E-3</v>
      </c>
      <c r="H961" s="64"/>
    </row>
    <row r="962" spans="1:8" x14ac:dyDescent="0.25">
      <c r="A962" s="65">
        <v>43790</v>
      </c>
      <c r="B962" s="66">
        <v>11968.4</v>
      </c>
      <c r="C962" s="66">
        <v>12025.65</v>
      </c>
      <c r="D962" s="66">
        <v>12028.2</v>
      </c>
      <c r="E962" s="66">
        <v>11956.9</v>
      </c>
      <c r="F962" s="67" t="s">
        <v>1753</v>
      </c>
      <c r="G962" s="68">
        <v>-2.5999999999999999E-3</v>
      </c>
      <c r="H962" s="64"/>
    </row>
    <row r="963" spans="1:8" x14ac:dyDescent="0.25">
      <c r="A963" s="65">
        <v>43791</v>
      </c>
      <c r="B963" s="66">
        <v>11914.4</v>
      </c>
      <c r="C963" s="66">
        <v>11967.3</v>
      </c>
      <c r="D963" s="66">
        <v>11968.1</v>
      </c>
      <c r="E963" s="66">
        <v>11883.5</v>
      </c>
      <c r="F963" s="67" t="s">
        <v>1752</v>
      </c>
      <c r="G963" s="68">
        <v>-4.4999999999999997E-3</v>
      </c>
      <c r="H963" s="64"/>
    </row>
    <row r="964" spans="1:8" x14ac:dyDescent="0.25">
      <c r="A964" s="65">
        <v>43794</v>
      </c>
      <c r="B964" s="66">
        <v>12073.75</v>
      </c>
      <c r="C964" s="66">
        <v>11922.45</v>
      </c>
      <c r="D964" s="66">
        <v>12084.5</v>
      </c>
      <c r="E964" s="66">
        <v>11919.75</v>
      </c>
      <c r="F964" s="67" t="s">
        <v>1751</v>
      </c>
      <c r="G964" s="68">
        <v>1.34E-2</v>
      </c>
      <c r="H964" s="64"/>
    </row>
    <row r="965" spans="1:8" x14ac:dyDescent="0.25">
      <c r="A965" s="65">
        <v>43795</v>
      </c>
      <c r="B965" s="66">
        <v>12037.7</v>
      </c>
      <c r="C965" s="66">
        <v>12110.2</v>
      </c>
      <c r="D965" s="66">
        <v>12132.45</v>
      </c>
      <c r="E965" s="66">
        <v>12006.35</v>
      </c>
      <c r="F965" s="67" t="s">
        <v>173</v>
      </c>
      <c r="G965" s="68">
        <v>-3.0000000000000001E-3</v>
      </c>
      <c r="H965" s="64"/>
    </row>
    <row r="966" spans="1:8" x14ac:dyDescent="0.25">
      <c r="A966" s="65">
        <v>43796</v>
      </c>
      <c r="B966" s="66">
        <v>12100.7</v>
      </c>
      <c r="C966" s="66">
        <v>12068.5</v>
      </c>
      <c r="D966" s="66">
        <v>12114.9</v>
      </c>
      <c r="E966" s="66">
        <v>12055.15</v>
      </c>
      <c r="F966" s="67" t="s">
        <v>1750</v>
      </c>
      <c r="G966" s="68">
        <v>5.1999999999999998E-3</v>
      </c>
      <c r="H966" s="64"/>
    </row>
    <row r="967" spans="1:8" x14ac:dyDescent="0.25">
      <c r="A967" s="65">
        <v>43797</v>
      </c>
      <c r="B967" s="66">
        <v>12151.15</v>
      </c>
      <c r="C967" s="66">
        <v>12132.1</v>
      </c>
      <c r="D967" s="66">
        <v>12158.8</v>
      </c>
      <c r="E967" s="66">
        <v>12099.95</v>
      </c>
      <c r="F967" s="67" t="s">
        <v>1749</v>
      </c>
      <c r="G967" s="68">
        <v>4.1999999999999997E-3</v>
      </c>
      <c r="H967" s="64"/>
    </row>
    <row r="968" spans="1:8" x14ac:dyDescent="0.25">
      <c r="A968" s="65">
        <v>43798</v>
      </c>
      <c r="B968" s="66">
        <v>12056.05</v>
      </c>
      <c r="C968" s="66">
        <v>12146.2</v>
      </c>
      <c r="D968" s="66">
        <v>12147.4</v>
      </c>
      <c r="E968" s="66">
        <v>12017.4</v>
      </c>
      <c r="F968" s="67" t="s">
        <v>1748</v>
      </c>
      <c r="G968" s="68">
        <v>-7.7999999999999996E-3</v>
      </c>
      <c r="H968" s="64"/>
    </row>
    <row r="969" spans="1:8" x14ac:dyDescent="0.25">
      <c r="A969" s="65">
        <v>43801</v>
      </c>
      <c r="B969" s="66">
        <v>12048.2</v>
      </c>
      <c r="C969" s="66">
        <v>12137.05</v>
      </c>
      <c r="D969" s="66">
        <v>12137.15</v>
      </c>
      <c r="E969" s="66">
        <v>12023.7</v>
      </c>
      <c r="F969" s="67" t="s">
        <v>1747</v>
      </c>
      <c r="G969" s="68">
        <v>-6.9999999999999999E-4</v>
      </c>
      <c r="H969" s="64"/>
    </row>
    <row r="970" spans="1:8" x14ac:dyDescent="0.25">
      <c r="A970" s="65">
        <v>43802</v>
      </c>
      <c r="B970" s="66">
        <v>11994.2</v>
      </c>
      <c r="C970" s="66">
        <v>12067.65</v>
      </c>
      <c r="D970" s="66">
        <v>12068.6</v>
      </c>
      <c r="E970" s="66">
        <v>11956.4</v>
      </c>
      <c r="F970" s="67" t="s">
        <v>1746</v>
      </c>
      <c r="G970" s="68">
        <v>-4.4999999999999997E-3</v>
      </c>
      <c r="H970" s="64"/>
    </row>
    <row r="971" spans="1:8" x14ac:dyDescent="0.25">
      <c r="A971" s="65">
        <v>43803</v>
      </c>
      <c r="B971" s="66">
        <v>12043.2</v>
      </c>
      <c r="C971" s="66">
        <v>11969.95</v>
      </c>
      <c r="D971" s="66">
        <v>12054.7</v>
      </c>
      <c r="E971" s="66">
        <v>11935.3</v>
      </c>
      <c r="F971" s="67" t="s">
        <v>1745</v>
      </c>
      <c r="G971" s="68">
        <v>4.1000000000000003E-3</v>
      </c>
      <c r="H971" s="64"/>
    </row>
    <row r="972" spans="1:8" x14ac:dyDescent="0.25">
      <c r="A972" s="65">
        <v>43804</v>
      </c>
      <c r="B972" s="66">
        <v>12018.4</v>
      </c>
      <c r="C972" s="66">
        <v>12071.25</v>
      </c>
      <c r="D972" s="66">
        <v>12081.2</v>
      </c>
      <c r="E972" s="66">
        <v>11998.75</v>
      </c>
      <c r="F972" s="67" t="s">
        <v>1744</v>
      </c>
      <c r="G972" s="68">
        <v>-2.0999999999999999E-3</v>
      </c>
      <c r="H972" s="64"/>
    </row>
    <row r="973" spans="1:8" x14ac:dyDescent="0.25">
      <c r="A973" s="65">
        <v>43805</v>
      </c>
      <c r="B973" s="66">
        <v>11921.5</v>
      </c>
      <c r="C973" s="66">
        <v>12047.35</v>
      </c>
      <c r="D973" s="66">
        <v>12057.05</v>
      </c>
      <c r="E973" s="66">
        <v>11888.85</v>
      </c>
      <c r="F973" s="67" t="s">
        <v>1743</v>
      </c>
      <c r="G973" s="68">
        <v>-8.0999999999999996E-3</v>
      </c>
      <c r="H973" s="64"/>
    </row>
    <row r="974" spans="1:8" x14ac:dyDescent="0.25">
      <c r="A974" s="65">
        <v>43808</v>
      </c>
      <c r="B974" s="66">
        <v>11937.5</v>
      </c>
      <c r="C974" s="66">
        <v>11939.1</v>
      </c>
      <c r="D974" s="66">
        <v>11981.95</v>
      </c>
      <c r="E974" s="66">
        <v>11888.05</v>
      </c>
      <c r="F974" s="67" t="s">
        <v>1742</v>
      </c>
      <c r="G974" s="68">
        <v>1.2999999999999999E-3</v>
      </c>
      <c r="H974" s="64"/>
    </row>
    <row r="975" spans="1:8" x14ac:dyDescent="0.25">
      <c r="A975" s="65">
        <v>43809</v>
      </c>
      <c r="B975" s="66">
        <v>11856.8</v>
      </c>
      <c r="C975" s="66">
        <v>11950.5</v>
      </c>
      <c r="D975" s="66">
        <v>11953.2</v>
      </c>
      <c r="E975" s="66">
        <v>11844.7</v>
      </c>
      <c r="F975" s="67" t="s">
        <v>1741</v>
      </c>
      <c r="G975" s="68">
        <v>-6.7999999999999996E-3</v>
      </c>
      <c r="H975" s="64"/>
    </row>
    <row r="976" spans="1:8" x14ac:dyDescent="0.25">
      <c r="A976" s="65">
        <v>43810</v>
      </c>
      <c r="B976" s="66">
        <v>11910.15</v>
      </c>
      <c r="C976" s="66">
        <v>11867.35</v>
      </c>
      <c r="D976" s="66">
        <v>11923.2</v>
      </c>
      <c r="E976" s="66">
        <v>11832.3</v>
      </c>
      <c r="F976" s="67" t="s">
        <v>1740</v>
      </c>
      <c r="G976" s="68">
        <v>4.4999999999999997E-3</v>
      </c>
      <c r="H976" s="64"/>
    </row>
    <row r="977" spans="1:8" x14ac:dyDescent="0.25">
      <c r="A977" s="65">
        <v>43811</v>
      </c>
      <c r="B977" s="66">
        <v>11971.8</v>
      </c>
      <c r="C977" s="66">
        <v>11944.3</v>
      </c>
      <c r="D977" s="66">
        <v>12005.5</v>
      </c>
      <c r="E977" s="66">
        <v>11934</v>
      </c>
      <c r="F977" s="67" t="s">
        <v>1739</v>
      </c>
      <c r="G977" s="68">
        <v>5.1999999999999998E-3</v>
      </c>
      <c r="H977" s="64"/>
    </row>
    <row r="978" spans="1:8" x14ac:dyDescent="0.25">
      <c r="A978" s="65">
        <v>43812</v>
      </c>
      <c r="B978" s="66">
        <v>12086.7</v>
      </c>
      <c r="C978" s="66">
        <v>12026.4</v>
      </c>
      <c r="D978" s="66">
        <v>12098.85</v>
      </c>
      <c r="E978" s="66">
        <v>12023.6</v>
      </c>
      <c r="F978" s="67" t="s">
        <v>1738</v>
      </c>
      <c r="G978" s="68">
        <v>9.5999999999999992E-3</v>
      </c>
      <c r="H978" s="64"/>
    </row>
    <row r="979" spans="1:8" x14ac:dyDescent="0.25">
      <c r="A979" s="65">
        <v>43815</v>
      </c>
      <c r="B979" s="66">
        <v>12053.95</v>
      </c>
      <c r="C979" s="66">
        <v>12131.35</v>
      </c>
      <c r="D979" s="66">
        <v>12134.65</v>
      </c>
      <c r="E979" s="66">
        <v>12046.3</v>
      </c>
      <c r="F979" s="67" t="s">
        <v>1737</v>
      </c>
      <c r="G979" s="68">
        <v>-2.7000000000000001E-3</v>
      </c>
      <c r="H979" s="64"/>
    </row>
    <row r="980" spans="1:8" x14ac:dyDescent="0.25">
      <c r="A980" s="65">
        <v>43816</v>
      </c>
      <c r="B980" s="66">
        <v>12165</v>
      </c>
      <c r="C980" s="66">
        <v>12082.45</v>
      </c>
      <c r="D980" s="66">
        <v>12182.75</v>
      </c>
      <c r="E980" s="66">
        <v>12070.35</v>
      </c>
      <c r="F980" s="67" t="s">
        <v>1736</v>
      </c>
      <c r="G980" s="68">
        <v>9.1999999999999998E-3</v>
      </c>
      <c r="H980" s="64"/>
    </row>
    <row r="981" spans="1:8" x14ac:dyDescent="0.25">
      <c r="A981" s="65">
        <v>43817</v>
      </c>
      <c r="B981" s="66">
        <v>12221.65</v>
      </c>
      <c r="C981" s="66">
        <v>12197</v>
      </c>
      <c r="D981" s="66">
        <v>12237.7</v>
      </c>
      <c r="E981" s="66">
        <v>12163.45</v>
      </c>
      <c r="F981" s="67" t="s">
        <v>1735</v>
      </c>
      <c r="G981" s="68">
        <v>4.7000000000000002E-3</v>
      </c>
      <c r="H981" s="64"/>
    </row>
    <row r="982" spans="1:8" x14ac:dyDescent="0.25">
      <c r="A982" s="65">
        <v>43818</v>
      </c>
      <c r="B982" s="66">
        <v>12259.7</v>
      </c>
      <c r="C982" s="66">
        <v>12223.4</v>
      </c>
      <c r="D982" s="66">
        <v>12268.35</v>
      </c>
      <c r="E982" s="66">
        <v>12191.15</v>
      </c>
      <c r="F982" s="67" t="s">
        <v>1734</v>
      </c>
      <c r="G982" s="68">
        <v>3.0999999999999999E-3</v>
      </c>
      <c r="H982" s="64"/>
    </row>
    <row r="983" spans="1:8" x14ac:dyDescent="0.25">
      <c r="A983" s="65">
        <v>43819</v>
      </c>
      <c r="B983" s="66">
        <v>12271.8</v>
      </c>
      <c r="C983" s="66">
        <v>12266.45</v>
      </c>
      <c r="D983" s="66">
        <v>12293.9</v>
      </c>
      <c r="E983" s="66">
        <v>12252.75</v>
      </c>
      <c r="F983" s="67" t="s">
        <v>1733</v>
      </c>
      <c r="G983" s="68">
        <v>1E-3</v>
      </c>
      <c r="H983" s="64"/>
    </row>
    <row r="984" spans="1:8" x14ac:dyDescent="0.25">
      <c r="A984" s="65">
        <v>43822</v>
      </c>
      <c r="B984" s="66">
        <v>12262.75</v>
      </c>
      <c r="C984" s="66">
        <v>12235.45</v>
      </c>
      <c r="D984" s="66">
        <v>12287.15</v>
      </c>
      <c r="E984" s="66">
        <v>12213.25</v>
      </c>
      <c r="F984" s="67" t="s">
        <v>1732</v>
      </c>
      <c r="G984" s="68">
        <v>-6.9999999999999999E-4</v>
      </c>
      <c r="H984" s="64"/>
    </row>
    <row r="985" spans="1:8" x14ac:dyDescent="0.25">
      <c r="A985" s="65">
        <v>43823</v>
      </c>
      <c r="B985" s="66">
        <v>12214.55</v>
      </c>
      <c r="C985" s="66">
        <v>12269.25</v>
      </c>
      <c r="D985" s="66">
        <v>12283.7</v>
      </c>
      <c r="E985" s="66">
        <v>12202.1</v>
      </c>
      <c r="F985" s="67" t="s">
        <v>1731</v>
      </c>
      <c r="G985" s="68">
        <v>-3.8999999999999998E-3</v>
      </c>
      <c r="H985" s="64"/>
    </row>
    <row r="986" spans="1:8" x14ac:dyDescent="0.25">
      <c r="A986" s="65">
        <v>43825</v>
      </c>
      <c r="B986" s="66">
        <v>12126.55</v>
      </c>
      <c r="C986" s="66">
        <v>12211.85</v>
      </c>
      <c r="D986" s="66">
        <v>12221.55</v>
      </c>
      <c r="E986" s="66">
        <v>12118.85</v>
      </c>
      <c r="F986" s="67" t="s">
        <v>1730</v>
      </c>
      <c r="G986" s="68">
        <v>-7.1999999999999998E-3</v>
      </c>
      <c r="H986" s="64"/>
    </row>
    <row r="987" spans="1:8" x14ac:dyDescent="0.25">
      <c r="A987" s="65">
        <v>43826</v>
      </c>
      <c r="B987" s="66">
        <v>12245.8</v>
      </c>
      <c r="C987" s="66">
        <v>12172.9</v>
      </c>
      <c r="D987" s="66">
        <v>12258.45</v>
      </c>
      <c r="E987" s="66">
        <v>12157.9</v>
      </c>
      <c r="F987" s="67" t="s">
        <v>1729</v>
      </c>
      <c r="G987" s="68">
        <v>9.7999999999999997E-3</v>
      </c>
      <c r="H987" s="64"/>
    </row>
    <row r="988" spans="1:8" x14ac:dyDescent="0.25">
      <c r="A988" s="65">
        <v>43829</v>
      </c>
      <c r="B988" s="66">
        <v>12255.85</v>
      </c>
      <c r="C988" s="66">
        <v>12274.9</v>
      </c>
      <c r="D988" s="66">
        <v>12286.45</v>
      </c>
      <c r="E988" s="66">
        <v>12213.8</v>
      </c>
      <c r="F988" s="67" t="s">
        <v>1728</v>
      </c>
      <c r="G988" s="68">
        <v>8.0000000000000004E-4</v>
      </c>
      <c r="H988" s="64"/>
    </row>
    <row r="989" spans="1:8" x14ac:dyDescent="0.25">
      <c r="A989" s="65">
        <v>43830</v>
      </c>
      <c r="B989" s="66">
        <v>12168.45</v>
      </c>
      <c r="C989" s="66">
        <v>12247.1</v>
      </c>
      <c r="D989" s="66">
        <v>12247.1</v>
      </c>
      <c r="E989" s="66">
        <v>12151.8</v>
      </c>
      <c r="F989" s="67" t="s">
        <v>1727</v>
      </c>
      <c r="G989" s="68">
        <v>-7.1000000000000004E-3</v>
      </c>
      <c r="H989" s="64"/>
    </row>
    <row r="990" spans="1:8" x14ac:dyDescent="0.25">
      <c r="A990" s="65">
        <v>43831</v>
      </c>
      <c r="B990" s="66">
        <v>12182.5</v>
      </c>
      <c r="C990" s="66">
        <v>12202.15</v>
      </c>
      <c r="D990" s="66">
        <v>12222.2</v>
      </c>
      <c r="E990" s="66">
        <v>12165.3</v>
      </c>
      <c r="F990" s="67" t="s">
        <v>1726</v>
      </c>
      <c r="G990" s="68">
        <v>1.1999999999999999E-3</v>
      </c>
      <c r="H990" s="64"/>
    </row>
    <row r="991" spans="1:8" x14ac:dyDescent="0.25">
      <c r="A991" s="65">
        <v>43832</v>
      </c>
      <c r="B991" s="66">
        <v>12282.2</v>
      </c>
      <c r="C991" s="66">
        <v>12198.55</v>
      </c>
      <c r="D991" s="66">
        <v>12289.9</v>
      </c>
      <c r="E991" s="66">
        <v>12195.25</v>
      </c>
      <c r="F991" s="67" t="s">
        <v>1725</v>
      </c>
      <c r="G991" s="68">
        <v>8.2000000000000007E-3</v>
      </c>
      <c r="H991" s="64"/>
    </row>
    <row r="992" spans="1:8" x14ac:dyDescent="0.25">
      <c r="A992" s="65">
        <v>43833</v>
      </c>
      <c r="B992" s="66">
        <v>12226.65</v>
      </c>
      <c r="C992" s="66">
        <v>12261.1</v>
      </c>
      <c r="D992" s="66">
        <v>12265.6</v>
      </c>
      <c r="E992" s="66">
        <v>12191.35</v>
      </c>
      <c r="F992" s="67" t="s">
        <v>1724</v>
      </c>
      <c r="G992" s="68">
        <v>-4.4999999999999997E-3</v>
      </c>
      <c r="H992" s="64"/>
    </row>
    <row r="993" spans="1:8" x14ac:dyDescent="0.25">
      <c r="A993" s="65">
        <v>43836</v>
      </c>
      <c r="B993" s="66">
        <v>11993.05</v>
      </c>
      <c r="C993" s="66">
        <v>12170.6</v>
      </c>
      <c r="D993" s="66">
        <v>12179.1</v>
      </c>
      <c r="E993" s="66">
        <v>11974.2</v>
      </c>
      <c r="F993" s="67" t="s">
        <v>1723</v>
      </c>
      <c r="G993" s="68">
        <v>-1.9099999999999999E-2</v>
      </c>
      <c r="H993" s="64"/>
    </row>
    <row r="994" spans="1:8" x14ac:dyDescent="0.25">
      <c r="A994" s="65">
        <v>43837</v>
      </c>
      <c r="B994" s="66">
        <v>12052.95</v>
      </c>
      <c r="C994" s="66">
        <v>12079.1</v>
      </c>
      <c r="D994" s="66">
        <v>12152.15</v>
      </c>
      <c r="E994" s="66">
        <v>12005.35</v>
      </c>
      <c r="F994" s="67" t="s">
        <v>1722</v>
      </c>
      <c r="G994" s="68">
        <v>5.0000000000000001E-3</v>
      </c>
      <c r="H994" s="64"/>
    </row>
    <row r="995" spans="1:8" x14ac:dyDescent="0.25">
      <c r="A995" s="65">
        <v>43838</v>
      </c>
      <c r="B995" s="66">
        <v>12025.35</v>
      </c>
      <c r="C995" s="66">
        <v>11939.1</v>
      </c>
      <c r="D995" s="66">
        <v>12044.95</v>
      </c>
      <c r="E995" s="66">
        <v>11929.6</v>
      </c>
      <c r="F995" s="67" t="s">
        <v>1721</v>
      </c>
      <c r="G995" s="68">
        <v>-2.3E-3</v>
      </c>
      <c r="H995" s="64"/>
    </row>
    <row r="996" spans="1:8" x14ac:dyDescent="0.25">
      <c r="A996" s="65">
        <v>43839</v>
      </c>
      <c r="B996" s="66">
        <v>12215.9</v>
      </c>
      <c r="C996" s="66">
        <v>12153.15</v>
      </c>
      <c r="D996" s="66">
        <v>12224.05</v>
      </c>
      <c r="E996" s="66">
        <v>12132.55</v>
      </c>
      <c r="F996" s="67" t="s">
        <v>1720</v>
      </c>
      <c r="G996" s="68">
        <v>1.5800000000000002E-2</v>
      </c>
      <c r="H996" s="64"/>
    </row>
    <row r="997" spans="1:8" x14ac:dyDescent="0.25">
      <c r="A997" s="65">
        <v>43840</v>
      </c>
      <c r="B997" s="66">
        <v>12256.8</v>
      </c>
      <c r="C997" s="66">
        <v>12271</v>
      </c>
      <c r="D997" s="66">
        <v>12311.2</v>
      </c>
      <c r="E997" s="66">
        <v>12213.2</v>
      </c>
      <c r="F997" s="67" t="s">
        <v>1719</v>
      </c>
      <c r="G997" s="68">
        <v>3.3E-3</v>
      </c>
      <c r="H997" s="64"/>
    </row>
    <row r="998" spans="1:8" x14ac:dyDescent="0.25">
      <c r="A998" s="65">
        <v>43843</v>
      </c>
      <c r="B998" s="66">
        <v>12329.55</v>
      </c>
      <c r="C998" s="66">
        <v>12296.7</v>
      </c>
      <c r="D998" s="66">
        <v>12337.75</v>
      </c>
      <c r="E998" s="66">
        <v>12285.8</v>
      </c>
      <c r="F998" s="67" t="s">
        <v>1718</v>
      </c>
      <c r="G998" s="68">
        <v>5.8999999999999999E-3</v>
      </c>
      <c r="H998" s="64"/>
    </row>
    <row r="999" spans="1:8" x14ac:dyDescent="0.25">
      <c r="A999" s="65">
        <v>43844</v>
      </c>
      <c r="B999" s="66">
        <v>12362.3</v>
      </c>
      <c r="C999" s="66">
        <v>12333.1</v>
      </c>
      <c r="D999" s="66">
        <v>12374.25</v>
      </c>
      <c r="E999" s="66">
        <v>12308.7</v>
      </c>
      <c r="F999" s="67" t="s">
        <v>1717</v>
      </c>
      <c r="G999" s="68">
        <v>2.7000000000000001E-3</v>
      </c>
      <c r="H999" s="64"/>
    </row>
    <row r="1000" spans="1:8" x14ac:dyDescent="0.25">
      <c r="A1000" s="65">
        <v>43845</v>
      </c>
      <c r="B1000" s="66">
        <v>12343.3</v>
      </c>
      <c r="C1000" s="66">
        <v>12349.4</v>
      </c>
      <c r="D1000" s="66">
        <v>12355.15</v>
      </c>
      <c r="E1000" s="66">
        <v>12278.75</v>
      </c>
      <c r="F1000" s="67" t="s">
        <v>1716</v>
      </c>
      <c r="G1000" s="68">
        <v>-1.5E-3</v>
      </c>
      <c r="H1000" s="64"/>
    </row>
    <row r="1001" spans="1:8" x14ac:dyDescent="0.25">
      <c r="A1001" s="65">
        <v>43846</v>
      </c>
      <c r="B1001" s="66">
        <v>12355.5</v>
      </c>
      <c r="C1001" s="66">
        <v>12347.1</v>
      </c>
      <c r="D1001" s="66">
        <v>12389.05</v>
      </c>
      <c r="E1001" s="66">
        <v>12315.8</v>
      </c>
      <c r="F1001" s="67" t="s">
        <v>1715</v>
      </c>
      <c r="G1001" s="68">
        <v>1E-3</v>
      </c>
      <c r="H1001" s="64"/>
    </row>
    <row r="1002" spans="1:8" x14ac:dyDescent="0.25">
      <c r="A1002" s="65">
        <v>43847</v>
      </c>
      <c r="B1002" s="66">
        <v>12352.35</v>
      </c>
      <c r="C1002" s="66">
        <v>12328.4</v>
      </c>
      <c r="D1002" s="66">
        <v>12385.45</v>
      </c>
      <c r="E1002" s="66">
        <v>12321.4</v>
      </c>
      <c r="F1002" s="67" t="s">
        <v>1714</v>
      </c>
      <c r="G1002" s="68">
        <v>-2.9999999999999997E-4</v>
      </c>
      <c r="H1002" s="64"/>
    </row>
    <row r="1003" spans="1:8" x14ac:dyDescent="0.25">
      <c r="A1003" s="65">
        <v>43850</v>
      </c>
      <c r="B1003" s="66">
        <v>12224.55</v>
      </c>
      <c r="C1003" s="66">
        <v>12430.5</v>
      </c>
      <c r="D1003" s="66">
        <v>12430.5</v>
      </c>
      <c r="E1003" s="66">
        <v>12216.9</v>
      </c>
      <c r="F1003" s="67" t="s">
        <v>1713</v>
      </c>
      <c r="G1003" s="68">
        <v>-1.03E-2</v>
      </c>
      <c r="H1003" s="64"/>
    </row>
    <row r="1004" spans="1:8" x14ac:dyDescent="0.25">
      <c r="A1004" s="65">
        <v>43851</v>
      </c>
      <c r="B1004" s="66">
        <v>12169.85</v>
      </c>
      <c r="C1004" s="66">
        <v>12195.3</v>
      </c>
      <c r="D1004" s="66">
        <v>12230.05</v>
      </c>
      <c r="E1004" s="66">
        <v>12162.3</v>
      </c>
      <c r="F1004" s="67" t="s">
        <v>1712</v>
      </c>
      <c r="G1004" s="68">
        <v>-4.4999999999999997E-3</v>
      </c>
      <c r="H1004" s="64"/>
    </row>
    <row r="1005" spans="1:8" x14ac:dyDescent="0.25">
      <c r="A1005" s="65">
        <v>43852</v>
      </c>
      <c r="B1005" s="66">
        <v>12106.9</v>
      </c>
      <c r="C1005" s="66">
        <v>12218.35</v>
      </c>
      <c r="D1005" s="66">
        <v>12225.05</v>
      </c>
      <c r="E1005" s="66">
        <v>12087.9</v>
      </c>
      <c r="F1005" s="67" t="s">
        <v>1711</v>
      </c>
      <c r="G1005" s="68">
        <v>-5.1999999999999998E-3</v>
      </c>
      <c r="H1005" s="64"/>
    </row>
    <row r="1006" spans="1:8" x14ac:dyDescent="0.25">
      <c r="A1006" s="65">
        <v>43853</v>
      </c>
      <c r="B1006" s="66">
        <v>12180.35</v>
      </c>
      <c r="C1006" s="66">
        <v>12123.75</v>
      </c>
      <c r="D1006" s="66">
        <v>12189</v>
      </c>
      <c r="E1006" s="66">
        <v>12094.1</v>
      </c>
      <c r="F1006" s="67" t="s">
        <v>1710</v>
      </c>
      <c r="G1006" s="68">
        <v>6.1000000000000004E-3</v>
      </c>
      <c r="H1006" s="64"/>
    </row>
    <row r="1007" spans="1:8" x14ac:dyDescent="0.25">
      <c r="A1007" s="65">
        <v>43854</v>
      </c>
      <c r="B1007" s="66">
        <v>12248.25</v>
      </c>
      <c r="C1007" s="66">
        <v>12174.55</v>
      </c>
      <c r="D1007" s="66">
        <v>12272.15</v>
      </c>
      <c r="E1007" s="66">
        <v>12149.65</v>
      </c>
      <c r="F1007" s="67" t="s">
        <v>1709</v>
      </c>
      <c r="G1007" s="68">
        <v>5.5999999999999999E-3</v>
      </c>
      <c r="H1007" s="64"/>
    </row>
    <row r="1008" spans="1:8" x14ac:dyDescent="0.25">
      <c r="A1008" s="65">
        <v>43857</v>
      </c>
      <c r="B1008" s="66">
        <v>12119</v>
      </c>
      <c r="C1008" s="66">
        <v>12197.1</v>
      </c>
      <c r="D1008" s="66">
        <v>12216.6</v>
      </c>
      <c r="E1008" s="66">
        <v>12107</v>
      </c>
      <c r="F1008" s="67" t="s">
        <v>1708</v>
      </c>
      <c r="G1008" s="68">
        <v>-1.06E-2</v>
      </c>
      <c r="H1008" s="64"/>
    </row>
    <row r="1009" spans="1:8" x14ac:dyDescent="0.25">
      <c r="A1009" s="65">
        <v>43858</v>
      </c>
      <c r="B1009" s="66">
        <v>12055.8</v>
      </c>
      <c r="C1009" s="66">
        <v>12148.1</v>
      </c>
      <c r="D1009" s="66">
        <v>12163.55</v>
      </c>
      <c r="E1009" s="66">
        <v>12024.5</v>
      </c>
      <c r="F1009" s="67" t="s">
        <v>1707</v>
      </c>
      <c r="G1009" s="68">
        <v>-5.1999999999999998E-3</v>
      </c>
      <c r="H1009" s="64"/>
    </row>
    <row r="1010" spans="1:8" x14ac:dyDescent="0.25">
      <c r="A1010" s="65">
        <v>43859</v>
      </c>
      <c r="B1010" s="66">
        <v>12129.5</v>
      </c>
      <c r="C1010" s="66">
        <v>12114.9</v>
      </c>
      <c r="D1010" s="66">
        <v>12169.6</v>
      </c>
      <c r="E1010" s="66">
        <v>12103.8</v>
      </c>
      <c r="F1010" s="67" t="s">
        <v>1706</v>
      </c>
      <c r="G1010" s="68">
        <v>6.1000000000000004E-3</v>
      </c>
      <c r="H1010" s="64"/>
    </row>
    <row r="1011" spans="1:8" x14ac:dyDescent="0.25">
      <c r="A1011" s="65">
        <v>43860</v>
      </c>
      <c r="B1011" s="66">
        <v>12035.8</v>
      </c>
      <c r="C1011" s="66">
        <v>12147.75</v>
      </c>
      <c r="D1011" s="66">
        <v>12150.3</v>
      </c>
      <c r="E1011" s="66">
        <v>12010.6</v>
      </c>
      <c r="F1011" s="67" t="s">
        <v>1705</v>
      </c>
      <c r="G1011" s="68">
        <v>-7.7000000000000002E-3</v>
      </c>
      <c r="H1011" s="64"/>
    </row>
    <row r="1012" spans="1:8" x14ac:dyDescent="0.25">
      <c r="A1012" s="65">
        <v>43861</v>
      </c>
      <c r="B1012" s="66">
        <v>11962.1</v>
      </c>
      <c r="C1012" s="66">
        <v>12100.4</v>
      </c>
      <c r="D1012" s="66">
        <v>12103.55</v>
      </c>
      <c r="E1012" s="66">
        <v>11945.85</v>
      </c>
      <c r="F1012" s="67" t="s">
        <v>1704</v>
      </c>
      <c r="G1012" s="68">
        <v>-6.1000000000000004E-3</v>
      </c>
      <c r="H1012" s="64"/>
    </row>
    <row r="1013" spans="1:8" x14ac:dyDescent="0.25">
      <c r="A1013" s="65">
        <v>43862</v>
      </c>
      <c r="B1013" s="66">
        <v>11661.85</v>
      </c>
      <c r="C1013" s="66">
        <v>11939</v>
      </c>
      <c r="D1013" s="66">
        <v>12017.35</v>
      </c>
      <c r="E1013" s="66">
        <v>11633.3</v>
      </c>
      <c r="F1013" s="67" t="s">
        <v>1703</v>
      </c>
      <c r="G1013" s="68">
        <v>-2.5100000000000001E-2</v>
      </c>
      <c r="H1013" s="64"/>
    </row>
    <row r="1014" spans="1:8" x14ac:dyDescent="0.25">
      <c r="A1014" s="65">
        <v>43864</v>
      </c>
      <c r="B1014" s="66">
        <v>11707.9</v>
      </c>
      <c r="C1014" s="66">
        <v>11627.45</v>
      </c>
      <c r="D1014" s="66">
        <v>11749.85</v>
      </c>
      <c r="E1014" s="66">
        <v>11614.5</v>
      </c>
      <c r="F1014" s="67" t="s">
        <v>1702</v>
      </c>
      <c r="G1014" s="68">
        <v>3.8999999999999998E-3</v>
      </c>
      <c r="H1014" s="64"/>
    </row>
    <row r="1015" spans="1:8" x14ac:dyDescent="0.25">
      <c r="A1015" s="65">
        <v>43865</v>
      </c>
      <c r="B1015" s="66">
        <v>11979.65</v>
      </c>
      <c r="C1015" s="66">
        <v>11786.25</v>
      </c>
      <c r="D1015" s="66">
        <v>11986.15</v>
      </c>
      <c r="E1015" s="66">
        <v>11783.4</v>
      </c>
      <c r="F1015" s="67" t="s">
        <v>1701</v>
      </c>
      <c r="G1015" s="68">
        <v>2.3199999999999998E-2</v>
      </c>
      <c r="H1015" s="64"/>
    </row>
    <row r="1016" spans="1:8" x14ac:dyDescent="0.25">
      <c r="A1016" s="65">
        <v>43866</v>
      </c>
      <c r="B1016" s="66">
        <v>12089.15</v>
      </c>
      <c r="C1016" s="66">
        <v>12005.85</v>
      </c>
      <c r="D1016" s="66">
        <v>12098.15</v>
      </c>
      <c r="E1016" s="66">
        <v>11953.35</v>
      </c>
      <c r="F1016" s="67" t="s">
        <v>1700</v>
      </c>
      <c r="G1016" s="68">
        <v>9.1000000000000004E-3</v>
      </c>
      <c r="H1016" s="64"/>
    </row>
    <row r="1017" spans="1:8" x14ac:dyDescent="0.25">
      <c r="A1017" s="65">
        <v>43867</v>
      </c>
      <c r="B1017" s="66">
        <v>12137.95</v>
      </c>
      <c r="C1017" s="66">
        <v>12120</v>
      </c>
      <c r="D1017" s="66">
        <v>12160.6</v>
      </c>
      <c r="E1017" s="66">
        <v>12084.65</v>
      </c>
      <c r="F1017" s="67" t="s">
        <v>1699</v>
      </c>
      <c r="G1017" s="68">
        <v>4.0000000000000001E-3</v>
      </c>
      <c r="H1017" s="64"/>
    </row>
    <row r="1018" spans="1:8" x14ac:dyDescent="0.25">
      <c r="A1018" s="65">
        <v>43868</v>
      </c>
      <c r="B1018" s="66">
        <v>12098.35</v>
      </c>
      <c r="C1018" s="66">
        <v>12151.15</v>
      </c>
      <c r="D1018" s="66">
        <v>12154.7</v>
      </c>
      <c r="E1018" s="66">
        <v>12073.95</v>
      </c>
      <c r="F1018" s="67" t="s">
        <v>1698</v>
      </c>
      <c r="G1018" s="68">
        <v>-3.3E-3</v>
      </c>
      <c r="H1018" s="64"/>
    </row>
    <row r="1019" spans="1:8" x14ac:dyDescent="0.25">
      <c r="A1019" s="65">
        <v>43871</v>
      </c>
      <c r="B1019" s="66">
        <v>12031.5</v>
      </c>
      <c r="C1019" s="66">
        <v>12102.35</v>
      </c>
      <c r="D1019" s="66">
        <v>12103.55</v>
      </c>
      <c r="E1019" s="66">
        <v>11990.75</v>
      </c>
      <c r="F1019" s="67" t="s">
        <v>1697</v>
      </c>
      <c r="G1019" s="68">
        <v>-5.4999999999999997E-3</v>
      </c>
      <c r="H1019" s="64"/>
    </row>
    <row r="1020" spans="1:8" x14ac:dyDescent="0.25">
      <c r="A1020" s="65">
        <v>43872</v>
      </c>
      <c r="B1020" s="66">
        <v>12107.9</v>
      </c>
      <c r="C1020" s="66">
        <v>12108.4</v>
      </c>
      <c r="D1020" s="66">
        <v>12172.3</v>
      </c>
      <c r="E1020" s="66">
        <v>12099</v>
      </c>
      <c r="F1020" s="67" t="s">
        <v>1696</v>
      </c>
      <c r="G1020" s="68">
        <v>6.4000000000000003E-3</v>
      </c>
      <c r="H1020" s="64"/>
    </row>
    <row r="1021" spans="1:8" x14ac:dyDescent="0.25">
      <c r="A1021" s="65">
        <v>43873</v>
      </c>
      <c r="B1021" s="66">
        <v>12201.2</v>
      </c>
      <c r="C1021" s="66">
        <v>12151</v>
      </c>
      <c r="D1021" s="66">
        <v>12231.75</v>
      </c>
      <c r="E1021" s="66">
        <v>12144.3</v>
      </c>
      <c r="F1021" s="67" t="s">
        <v>1695</v>
      </c>
      <c r="G1021" s="68">
        <v>7.7000000000000002E-3</v>
      </c>
      <c r="H1021" s="64"/>
    </row>
    <row r="1022" spans="1:8" x14ac:dyDescent="0.25">
      <c r="A1022" s="65">
        <v>43874</v>
      </c>
      <c r="B1022" s="66">
        <v>12174.65</v>
      </c>
      <c r="C1022" s="66">
        <v>12219.55</v>
      </c>
      <c r="D1022" s="66">
        <v>12225.65</v>
      </c>
      <c r="E1022" s="66">
        <v>12139.8</v>
      </c>
      <c r="F1022" s="67" t="s">
        <v>1694</v>
      </c>
      <c r="G1022" s="68">
        <v>-2.2000000000000001E-3</v>
      </c>
      <c r="H1022" s="64"/>
    </row>
    <row r="1023" spans="1:8" x14ac:dyDescent="0.25">
      <c r="A1023" s="65">
        <v>43875</v>
      </c>
      <c r="B1023" s="66">
        <v>12113.45</v>
      </c>
      <c r="C1023" s="66">
        <v>12190.15</v>
      </c>
      <c r="D1023" s="66">
        <v>12246.7</v>
      </c>
      <c r="E1023" s="66">
        <v>12091.2</v>
      </c>
      <c r="F1023" s="67" t="s">
        <v>1693</v>
      </c>
      <c r="G1023" s="68">
        <v>-5.0000000000000001E-3</v>
      </c>
      <c r="H1023" s="64"/>
    </row>
    <row r="1024" spans="1:8" x14ac:dyDescent="0.25">
      <c r="A1024" s="65">
        <v>43878</v>
      </c>
      <c r="B1024" s="66">
        <v>12045.8</v>
      </c>
      <c r="C1024" s="66">
        <v>12131.8</v>
      </c>
      <c r="D1024" s="66">
        <v>12159.6</v>
      </c>
      <c r="E1024" s="66">
        <v>12037</v>
      </c>
      <c r="F1024" s="67" t="s">
        <v>1692</v>
      </c>
      <c r="G1024" s="68">
        <v>-5.5999999999999999E-3</v>
      </c>
      <c r="H1024" s="64"/>
    </row>
    <row r="1025" spans="1:8" x14ac:dyDescent="0.25">
      <c r="A1025" s="65">
        <v>43879</v>
      </c>
      <c r="B1025" s="66">
        <v>11992.5</v>
      </c>
      <c r="C1025" s="66">
        <v>12028.25</v>
      </c>
      <c r="D1025" s="66">
        <v>12030.75</v>
      </c>
      <c r="E1025" s="66">
        <v>11908.05</v>
      </c>
      <c r="F1025" s="67" t="s">
        <v>1691</v>
      </c>
      <c r="G1025" s="68">
        <v>-4.4000000000000003E-3</v>
      </c>
      <c r="H1025" s="64"/>
    </row>
    <row r="1026" spans="1:8" x14ac:dyDescent="0.25">
      <c r="A1026" s="65">
        <v>43880</v>
      </c>
      <c r="B1026" s="66">
        <v>12125.9</v>
      </c>
      <c r="C1026" s="66">
        <v>12090.6</v>
      </c>
      <c r="D1026" s="66">
        <v>12134.7</v>
      </c>
      <c r="E1026" s="66">
        <v>12042.1</v>
      </c>
      <c r="F1026" s="67" t="s">
        <v>1690</v>
      </c>
      <c r="G1026" s="68">
        <v>1.11E-2</v>
      </c>
      <c r="H1026" s="64"/>
    </row>
    <row r="1027" spans="1:8" x14ac:dyDescent="0.25">
      <c r="A1027" s="65">
        <v>43881</v>
      </c>
      <c r="B1027" s="66">
        <v>12080.85</v>
      </c>
      <c r="C1027" s="66">
        <v>12119</v>
      </c>
      <c r="D1027" s="66">
        <v>12152</v>
      </c>
      <c r="E1027" s="66">
        <v>12071.45</v>
      </c>
      <c r="F1027" s="67" t="s">
        <v>1493</v>
      </c>
      <c r="G1027" s="68">
        <v>-3.7000000000000002E-3</v>
      </c>
      <c r="H1027" s="64"/>
    </row>
    <row r="1028" spans="1:8" x14ac:dyDescent="0.25">
      <c r="A1028" s="65">
        <v>43885</v>
      </c>
      <c r="B1028" s="66">
        <v>11829.4</v>
      </c>
      <c r="C1028" s="66">
        <v>12012.55</v>
      </c>
      <c r="D1028" s="66">
        <v>12012.55</v>
      </c>
      <c r="E1028" s="66">
        <v>11813.4</v>
      </c>
      <c r="F1028" s="67" t="s">
        <v>1689</v>
      </c>
      <c r="G1028" s="68">
        <v>-2.0799999999999999E-2</v>
      </c>
      <c r="H1028" s="64"/>
    </row>
    <row r="1029" spans="1:8" x14ac:dyDescent="0.25">
      <c r="A1029" s="65">
        <v>43886</v>
      </c>
      <c r="B1029" s="66">
        <v>11797.9</v>
      </c>
      <c r="C1029" s="66">
        <v>11877.5</v>
      </c>
      <c r="D1029" s="66">
        <v>11883.05</v>
      </c>
      <c r="E1029" s="66">
        <v>11779.9</v>
      </c>
      <c r="F1029" s="67" t="s">
        <v>1688</v>
      </c>
      <c r="G1029" s="68">
        <v>-2.7000000000000001E-3</v>
      </c>
      <c r="H1029" s="64"/>
    </row>
    <row r="1030" spans="1:8" x14ac:dyDescent="0.25">
      <c r="A1030" s="65">
        <v>43887</v>
      </c>
      <c r="B1030" s="66">
        <v>11678.5</v>
      </c>
      <c r="C1030" s="66">
        <v>11738.55</v>
      </c>
      <c r="D1030" s="66">
        <v>11783.25</v>
      </c>
      <c r="E1030" s="66">
        <v>11639.6</v>
      </c>
      <c r="F1030" s="67" t="s">
        <v>1687</v>
      </c>
      <c r="G1030" s="68">
        <v>-1.01E-2</v>
      </c>
      <c r="H1030" s="64"/>
    </row>
    <row r="1031" spans="1:8" x14ac:dyDescent="0.25">
      <c r="A1031" s="65">
        <v>43888</v>
      </c>
      <c r="B1031" s="66">
        <v>11633.3</v>
      </c>
      <c r="C1031" s="66">
        <v>11661.25</v>
      </c>
      <c r="D1031" s="66">
        <v>11663.85</v>
      </c>
      <c r="E1031" s="66">
        <v>11536.7</v>
      </c>
      <c r="F1031" s="67" t="s">
        <v>1686</v>
      </c>
      <c r="G1031" s="68">
        <v>-3.8999999999999998E-3</v>
      </c>
      <c r="H1031" s="64"/>
    </row>
    <row r="1032" spans="1:8" x14ac:dyDescent="0.25">
      <c r="A1032" s="65">
        <v>43889</v>
      </c>
      <c r="B1032" s="66">
        <v>11201.75</v>
      </c>
      <c r="C1032" s="66">
        <v>11382</v>
      </c>
      <c r="D1032" s="66">
        <v>11384.8</v>
      </c>
      <c r="E1032" s="66">
        <v>11175.05</v>
      </c>
      <c r="F1032" s="67" t="s">
        <v>1685</v>
      </c>
      <c r="G1032" s="68">
        <v>-3.7100000000000001E-2</v>
      </c>
      <c r="H1032" s="64"/>
    </row>
    <row r="1033" spans="1:8" x14ac:dyDescent="0.25">
      <c r="A1033" s="65">
        <v>43892</v>
      </c>
      <c r="B1033" s="66">
        <v>11132.75</v>
      </c>
      <c r="C1033" s="66">
        <v>11387.35</v>
      </c>
      <c r="D1033" s="66">
        <v>11433</v>
      </c>
      <c r="E1033" s="66">
        <v>11036.25</v>
      </c>
      <c r="F1033" s="67" t="s">
        <v>1684</v>
      </c>
      <c r="G1033" s="68">
        <v>-6.1999999999999998E-3</v>
      </c>
      <c r="H1033" s="64"/>
    </row>
    <row r="1034" spans="1:8" x14ac:dyDescent="0.25">
      <c r="A1034" s="65">
        <v>43893</v>
      </c>
      <c r="B1034" s="66">
        <v>11303.3</v>
      </c>
      <c r="C1034" s="66">
        <v>11217.55</v>
      </c>
      <c r="D1034" s="66">
        <v>11342.25</v>
      </c>
      <c r="E1034" s="66">
        <v>11152.55</v>
      </c>
      <c r="F1034" s="67" t="s">
        <v>1683</v>
      </c>
      <c r="G1034" s="68">
        <v>1.5299999999999999E-2</v>
      </c>
      <c r="H1034" s="64"/>
    </row>
    <row r="1035" spans="1:8" x14ac:dyDescent="0.25">
      <c r="A1035" s="65">
        <v>43894</v>
      </c>
      <c r="B1035" s="66">
        <v>11251</v>
      </c>
      <c r="C1035" s="66">
        <v>11351.35</v>
      </c>
      <c r="D1035" s="66">
        <v>11356.6</v>
      </c>
      <c r="E1035" s="66">
        <v>11082.15</v>
      </c>
      <c r="F1035" s="67" t="s">
        <v>1682</v>
      </c>
      <c r="G1035" s="68">
        <v>-4.5999999999999999E-3</v>
      </c>
      <c r="H1035" s="64"/>
    </row>
    <row r="1036" spans="1:8" x14ac:dyDescent="0.25">
      <c r="A1036" s="65">
        <v>43895</v>
      </c>
      <c r="B1036" s="66">
        <v>11269</v>
      </c>
      <c r="C1036" s="66">
        <v>11306.05</v>
      </c>
      <c r="D1036" s="66">
        <v>11389.5</v>
      </c>
      <c r="E1036" s="66">
        <v>11244.6</v>
      </c>
      <c r="F1036" s="67" t="s">
        <v>1681</v>
      </c>
      <c r="G1036" s="68">
        <v>1.6000000000000001E-3</v>
      </c>
      <c r="H1036" s="64"/>
    </row>
    <row r="1037" spans="1:8" x14ac:dyDescent="0.25">
      <c r="A1037" s="65">
        <v>43896</v>
      </c>
      <c r="B1037" s="66">
        <v>10989.45</v>
      </c>
      <c r="C1037" s="66">
        <v>10942.65</v>
      </c>
      <c r="D1037" s="66">
        <v>11035.1</v>
      </c>
      <c r="E1037" s="66">
        <v>10827.4</v>
      </c>
      <c r="F1037" s="67" t="s">
        <v>1680</v>
      </c>
      <c r="G1037" s="68">
        <v>-2.4799999999999999E-2</v>
      </c>
      <c r="H1037" s="64"/>
    </row>
    <row r="1038" spans="1:8" x14ac:dyDescent="0.25">
      <c r="A1038" s="65">
        <v>43899</v>
      </c>
      <c r="B1038" s="66">
        <v>10451.450000000001</v>
      </c>
      <c r="C1038" s="66">
        <v>10742.05</v>
      </c>
      <c r="D1038" s="66">
        <v>10751.55</v>
      </c>
      <c r="E1038" s="66">
        <v>10294.450000000001</v>
      </c>
      <c r="F1038" s="67" t="s">
        <v>1679</v>
      </c>
      <c r="G1038" s="68">
        <v>-4.9000000000000002E-2</v>
      </c>
      <c r="H1038" s="64"/>
    </row>
    <row r="1039" spans="1:8" x14ac:dyDescent="0.25">
      <c r="A1039" s="65">
        <v>43901</v>
      </c>
      <c r="B1039" s="66">
        <v>10458.4</v>
      </c>
      <c r="C1039" s="66">
        <v>10334.299999999999</v>
      </c>
      <c r="D1039" s="66">
        <v>10545.1</v>
      </c>
      <c r="E1039" s="66">
        <v>10334</v>
      </c>
      <c r="F1039" s="67" t="s">
        <v>1678</v>
      </c>
      <c r="G1039" s="68">
        <v>6.9999999999999999E-4</v>
      </c>
      <c r="H1039" s="64"/>
    </row>
    <row r="1040" spans="1:8" x14ac:dyDescent="0.25">
      <c r="A1040" s="65">
        <v>43902</v>
      </c>
      <c r="B1040" s="66">
        <v>9590.15</v>
      </c>
      <c r="C1040" s="66">
        <v>10039.950000000001</v>
      </c>
      <c r="D1040" s="66">
        <v>10040.75</v>
      </c>
      <c r="E1040" s="66">
        <v>9508</v>
      </c>
      <c r="F1040" s="67" t="s">
        <v>1677</v>
      </c>
      <c r="G1040" s="68">
        <v>-8.3000000000000004E-2</v>
      </c>
      <c r="H1040" s="64"/>
    </row>
    <row r="1041" spans="1:8" x14ac:dyDescent="0.25">
      <c r="A1041" s="65">
        <v>43903</v>
      </c>
      <c r="B1041" s="66">
        <v>9955.2000000000007</v>
      </c>
      <c r="C1041" s="66">
        <v>9107.6</v>
      </c>
      <c r="D1041" s="66">
        <v>10159.4</v>
      </c>
      <c r="E1041" s="66">
        <v>8555.15</v>
      </c>
      <c r="F1041" s="67" t="s">
        <v>1676</v>
      </c>
      <c r="G1041" s="68">
        <v>3.8100000000000002E-2</v>
      </c>
      <c r="H1041" s="64"/>
    </row>
    <row r="1042" spans="1:8" x14ac:dyDescent="0.25">
      <c r="A1042" s="65">
        <v>43906</v>
      </c>
      <c r="B1042" s="66">
        <v>9197.4</v>
      </c>
      <c r="C1042" s="66">
        <v>9587.7999999999993</v>
      </c>
      <c r="D1042" s="66">
        <v>9602.2000000000007</v>
      </c>
      <c r="E1042" s="66">
        <v>9165.1</v>
      </c>
      <c r="F1042" s="67" t="s">
        <v>1675</v>
      </c>
      <c r="G1042" s="68">
        <v>-7.6100000000000001E-2</v>
      </c>
      <c r="H1042" s="64"/>
    </row>
    <row r="1043" spans="1:8" x14ac:dyDescent="0.25">
      <c r="A1043" s="65">
        <v>43907</v>
      </c>
      <c r="B1043" s="66">
        <v>8967.0499999999993</v>
      </c>
      <c r="C1043" s="66">
        <v>9285.4</v>
      </c>
      <c r="D1043" s="66">
        <v>9403.7999999999993</v>
      </c>
      <c r="E1043" s="66">
        <v>8915.6</v>
      </c>
      <c r="F1043" s="67" t="s">
        <v>1674</v>
      </c>
      <c r="G1043" s="68">
        <v>-2.5000000000000001E-2</v>
      </c>
      <c r="H1043" s="64"/>
    </row>
    <row r="1044" spans="1:8" x14ac:dyDescent="0.25">
      <c r="A1044" s="65">
        <v>43908</v>
      </c>
      <c r="B1044" s="66">
        <v>8468.7999999999993</v>
      </c>
      <c r="C1044" s="66">
        <v>9088.4500000000007</v>
      </c>
      <c r="D1044" s="66">
        <v>9127.5499999999993</v>
      </c>
      <c r="E1044" s="66">
        <v>8407.0499999999993</v>
      </c>
      <c r="F1044" s="67" t="s">
        <v>1673</v>
      </c>
      <c r="G1044" s="68">
        <v>-5.5599999999999997E-2</v>
      </c>
      <c r="H1044" s="64"/>
    </row>
    <row r="1045" spans="1:8" x14ac:dyDescent="0.25">
      <c r="A1045" s="65">
        <v>43909</v>
      </c>
      <c r="B1045" s="66">
        <v>8263.4500000000007</v>
      </c>
      <c r="C1045" s="66">
        <v>8063.3</v>
      </c>
      <c r="D1045" s="66">
        <v>8575.4500000000007</v>
      </c>
      <c r="E1045" s="66">
        <v>7832.55</v>
      </c>
      <c r="F1045" s="67" t="s">
        <v>1672</v>
      </c>
      <c r="G1045" s="68">
        <v>-2.4199999999999999E-2</v>
      </c>
      <c r="H1045" s="64"/>
    </row>
    <row r="1046" spans="1:8" x14ac:dyDescent="0.25">
      <c r="A1046" s="65">
        <v>43910</v>
      </c>
      <c r="B1046" s="66">
        <v>8745.4500000000007</v>
      </c>
      <c r="C1046" s="66">
        <v>8284.4500000000007</v>
      </c>
      <c r="D1046" s="66">
        <v>8883</v>
      </c>
      <c r="E1046" s="66">
        <v>8178.2</v>
      </c>
      <c r="F1046" s="67" t="s">
        <v>1671</v>
      </c>
      <c r="G1046" s="68">
        <v>5.8299999999999998E-2</v>
      </c>
      <c r="H1046" s="64"/>
    </row>
    <row r="1047" spans="1:8" x14ac:dyDescent="0.25">
      <c r="A1047" s="65">
        <v>43913</v>
      </c>
      <c r="B1047" s="66">
        <v>7610.25</v>
      </c>
      <c r="C1047" s="66">
        <v>7945.7</v>
      </c>
      <c r="D1047" s="66">
        <v>8159.25</v>
      </c>
      <c r="E1047" s="66">
        <v>7583.6</v>
      </c>
      <c r="F1047" s="67" t="s">
        <v>1670</v>
      </c>
      <c r="G1047" s="68">
        <v>-0.1298</v>
      </c>
      <c r="H1047" s="64"/>
    </row>
    <row r="1048" spans="1:8" x14ac:dyDescent="0.25">
      <c r="A1048" s="65">
        <v>43914</v>
      </c>
      <c r="B1048" s="66">
        <v>7801.05</v>
      </c>
      <c r="C1048" s="66">
        <v>7848.3</v>
      </c>
      <c r="D1048" s="66">
        <v>8036.95</v>
      </c>
      <c r="E1048" s="66">
        <v>7511.1</v>
      </c>
      <c r="F1048" s="67" t="s">
        <v>1669</v>
      </c>
      <c r="G1048" s="68">
        <v>2.5100000000000001E-2</v>
      </c>
      <c r="H1048" s="64"/>
    </row>
    <row r="1049" spans="1:8" x14ac:dyDescent="0.25">
      <c r="A1049" s="65">
        <v>43915</v>
      </c>
      <c r="B1049" s="66">
        <v>8317.85</v>
      </c>
      <c r="C1049" s="66">
        <v>7735.15</v>
      </c>
      <c r="D1049" s="66">
        <v>8376.75</v>
      </c>
      <c r="E1049" s="66">
        <v>7714.75</v>
      </c>
      <c r="F1049" s="67" t="s">
        <v>1668</v>
      </c>
      <c r="G1049" s="68">
        <v>6.6199999999999995E-2</v>
      </c>
      <c r="H1049" s="64"/>
    </row>
    <row r="1050" spans="1:8" x14ac:dyDescent="0.25">
      <c r="A1050" s="65">
        <v>43916</v>
      </c>
      <c r="B1050" s="66">
        <v>8641.4500000000007</v>
      </c>
      <c r="C1050" s="66">
        <v>8451</v>
      </c>
      <c r="D1050" s="66">
        <v>8749.0499999999993</v>
      </c>
      <c r="E1050" s="66">
        <v>8304.9</v>
      </c>
      <c r="F1050" s="67" t="s">
        <v>1667</v>
      </c>
      <c r="G1050" s="68">
        <v>3.8899999999999997E-2</v>
      </c>
      <c r="H1050" s="64"/>
    </row>
    <row r="1051" spans="1:8" x14ac:dyDescent="0.25">
      <c r="A1051" s="65">
        <v>43917</v>
      </c>
      <c r="B1051" s="66">
        <v>8660.25</v>
      </c>
      <c r="C1051" s="66">
        <v>8949.1</v>
      </c>
      <c r="D1051" s="66">
        <v>9038.9</v>
      </c>
      <c r="E1051" s="66">
        <v>8522.9</v>
      </c>
      <c r="F1051" s="67" t="s">
        <v>1666</v>
      </c>
      <c r="G1051" s="68">
        <v>2.2000000000000001E-3</v>
      </c>
      <c r="H1051" s="64"/>
    </row>
    <row r="1052" spans="1:8" x14ac:dyDescent="0.25">
      <c r="A1052" s="65">
        <v>43920</v>
      </c>
      <c r="B1052" s="66">
        <v>8281.1</v>
      </c>
      <c r="C1052" s="66">
        <v>8385.9500000000007</v>
      </c>
      <c r="D1052" s="66">
        <v>8576</v>
      </c>
      <c r="E1052" s="66">
        <v>8244</v>
      </c>
      <c r="F1052" s="67" t="s">
        <v>1665</v>
      </c>
      <c r="G1052" s="68">
        <v>-4.3799999999999999E-2</v>
      </c>
      <c r="H1052" s="64"/>
    </row>
    <row r="1053" spans="1:8" x14ac:dyDescent="0.25">
      <c r="A1053" s="65">
        <v>43921</v>
      </c>
      <c r="B1053" s="66">
        <v>8597.75</v>
      </c>
      <c r="C1053" s="66">
        <v>8529.35</v>
      </c>
      <c r="D1053" s="66">
        <v>8678.2999999999993</v>
      </c>
      <c r="E1053" s="66">
        <v>8358</v>
      </c>
      <c r="F1053" s="67" t="s">
        <v>1664</v>
      </c>
      <c r="G1053" s="68">
        <v>3.8199999999999998E-2</v>
      </c>
      <c r="H1053" s="64"/>
    </row>
    <row r="1054" spans="1:8" x14ac:dyDescent="0.25">
      <c r="A1054" s="65">
        <v>43922</v>
      </c>
      <c r="B1054" s="66">
        <v>8253.7999999999993</v>
      </c>
      <c r="C1054" s="66">
        <v>8584.1</v>
      </c>
      <c r="D1054" s="66">
        <v>8588.1</v>
      </c>
      <c r="E1054" s="66">
        <v>8198.35</v>
      </c>
      <c r="F1054" s="67" t="s">
        <v>1663</v>
      </c>
      <c r="G1054" s="68">
        <v>-0.04</v>
      </c>
      <c r="H1054" s="64"/>
    </row>
    <row r="1055" spans="1:8" x14ac:dyDescent="0.25">
      <c r="A1055" s="65">
        <v>43924</v>
      </c>
      <c r="B1055" s="66">
        <v>8083.8</v>
      </c>
      <c r="C1055" s="66">
        <v>8356.5499999999993</v>
      </c>
      <c r="D1055" s="66">
        <v>8356.5499999999993</v>
      </c>
      <c r="E1055" s="66">
        <v>8055.8</v>
      </c>
      <c r="F1055" s="67" t="s">
        <v>1662</v>
      </c>
      <c r="G1055" s="68">
        <v>-2.06E-2</v>
      </c>
      <c r="H1055" s="64"/>
    </row>
    <row r="1056" spans="1:8" x14ac:dyDescent="0.25">
      <c r="A1056" s="65">
        <v>43928</v>
      </c>
      <c r="B1056" s="66">
        <v>8792.2000000000007</v>
      </c>
      <c r="C1056" s="66">
        <v>8446.2999999999993</v>
      </c>
      <c r="D1056" s="66">
        <v>8819.4</v>
      </c>
      <c r="E1056" s="66">
        <v>8360.9500000000007</v>
      </c>
      <c r="F1056" s="67" t="s">
        <v>1661</v>
      </c>
      <c r="G1056" s="68">
        <v>8.7599999999999997E-2</v>
      </c>
      <c r="H1056" s="64"/>
    </row>
    <row r="1057" spans="1:8" x14ac:dyDescent="0.25">
      <c r="A1057" s="65">
        <v>43929</v>
      </c>
      <c r="B1057" s="66">
        <v>8748.75</v>
      </c>
      <c r="C1057" s="66">
        <v>8688.9</v>
      </c>
      <c r="D1057" s="66">
        <v>9131.7000000000007</v>
      </c>
      <c r="E1057" s="66">
        <v>8653.9</v>
      </c>
      <c r="F1057" s="67" t="s">
        <v>1660</v>
      </c>
      <c r="G1057" s="68">
        <v>-4.8999999999999998E-3</v>
      </c>
      <c r="H1057" s="64"/>
    </row>
    <row r="1058" spans="1:8" x14ac:dyDescent="0.25">
      <c r="A1058" s="65">
        <v>43930</v>
      </c>
      <c r="B1058" s="66">
        <v>9111.9</v>
      </c>
      <c r="C1058" s="66">
        <v>8973.0499999999993</v>
      </c>
      <c r="D1058" s="66">
        <v>9128.35</v>
      </c>
      <c r="E1058" s="66">
        <v>8904.5499999999993</v>
      </c>
      <c r="F1058" s="67" t="s">
        <v>1659</v>
      </c>
      <c r="G1058" s="68">
        <v>4.1500000000000002E-2</v>
      </c>
      <c r="H1058" s="64"/>
    </row>
    <row r="1059" spans="1:8" x14ac:dyDescent="0.25">
      <c r="A1059" s="65">
        <v>43934</v>
      </c>
      <c r="B1059" s="66">
        <v>8993.85</v>
      </c>
      <c r="C1059" s="66">
        <v>9103.9500000000007</v>
      </c>
      <c r="D1059" s="66">
        <v>9112.0499999999993</v>
      </c>
      <c r="E1059" s="66">
        <v>8912.4</v>
      </c>
      <c r="F1059" s="67" t="s">
        <v>1658</v>
      </c>
      <c r="G1059" s="68">
        <v>-1.2999999999999999E-2</v>
      </c>
      <c r="H1059" s="64"/>
    </row>
    <row r="1060" spans="1:8" x14ac:dyDescent="0.25">
      <c r="A1060" s="65">
        <v>43936</v>
      </c>
      <c r="B1060" s="66">
        <v>8925.2999999999993</v>
      </c>
      <c r="C1060" s="66">
        <v>9196.4</v>
      </c>
      <c r="D1060" s="66">
        <v>9261.2000000000007</v>
      </c>
      <c r="E1060" s="66">
        <v>8874.1</v>
      </c>
      <c r="F1060" s="67" t="s">
        <v>1657</v>
      </c>
      <c r="G1060" s="68">
        <v>-7.6E-3</v>
      </c>
      <c r="H1060" s="64"/>
    </row>
    <row r="1061" spans="1:8" x14ac:dyDescent="0.25">
      <c r="A1061" s="65">
        <v>43937</v>
      </c>
      <c r="B1061" s="66">
        <v>8992.7999999999993</v>
      </c>
      <c r="C1061" s="66">
        <v>8851.25</v>
      </c>
      <c r="D1061" s="66">
        <v>9053.75</v>
      </c>
      <c r="E1061" s="66">
        <v>8821.9</v>
      </c>
      <c r="F1061" s="67" t="s">
        <v>1656</v>
      </c>
      <c r="G1061" s="68">
        <v>7.6E-3</v>
      </c>
      <c r="H1061" s="64"/>
    </row>
    <row r="1062" spans="1:8" x14ac:dyDescent="0.25">
      <c r="A1062" s="65">
        <v>43938</v>
      </c>
      <c r="B1062" s="66">
        <v>9266.75</v>
      </c>
      <c r="C1062" s="66">
        <v>9323.4500000000007</v>
      </c>
      <c r="D1062" s="66">
        <v>9324</v>
      </c>
      <c r="E1062" s="66">
        <v>9091.35</v>
      </c>
      <c r="F1062" s="67" t="s">
        <v>1655</v>
      </c>
      <c r="G1062" s="68">
        <v>3.0499999999999999E-2</v>
      </c>
      <c r="H1062" s="64"/>
    </row>
    <row r="1063" spans="1:8" x14ac:dyDescent="0.25">
      <c r="A1063" s="65">
        <v>43941</v>
      </c>
      <c r="B1063" s="66">
        <v>9261.85</v>
      </c>
      <c r="C1063" s="66">
        <v>9390.2000000000007</v>
      </c>
      <c r="D1063" s="66">
        <v>9390.85</v>
      </c>
      <c r="E1063" s="66">
        <v>9230.7999999999993</v>
      </c>
      <c r="F1063" s="67" t="s">
        <v>1654</v>
      </c>
      <c r="G1063" s="68">
        <v>-5.0000000000000001E-4</v>
      </c>
      <c r="H1063" s="64"/>
    </row>
    <row r="1064" spans="1:8" x14ac:dyDescent="0.25">
      <c r="A1064" s="65">
        <v>43942</v>
      </c>
      <c r="B1064" s="66">
        <v>8981.4500000000007</v>
      </c>
      <c r="C1064" s="66">
        <v>9016.9500000000007</v>
      </c>
      <c r="D1064" s="66">
        <v>9044.4</v>
      </c>
      <c r="E1064" s="66">
        <v>8909.4</v>
      </c>
      <c r="F1064" s="67" t="s">
        <v>1653</v>
      </c>
      <c r="G1064" s="68">
        <v>-3.0300000000000001E-2</v>
      </c>
      <c r="H1064" s="64"/>
    </row>
    <row r="1065" spans="1:8" x14ac:dyDescent="0.25">
      <c r="A1065" s="65">
        <v>43943</v>
      </c>
      <c r="B1065" s="66">
        <v>9187.2999999999993</v>
      </c>
      <c r="C1065" s="66">
        <v>9026.75</v>
      </c>
      <c r="D1065" s="66">
        <v>9209.75</v>
      </c>
      <c r="E1065" s="66">
        <v>8946.25</v>
      </c>
      <c r="F1065" s="67" t="s">
        <v>1652</v>
      </c>
      <c r="G1065" s="68">
        <v>2.29E-2</v>
      </c>
      <c r="H1065" s="64"/>
    </row>
    <row r="1066" spans="1:8" x14ac:dyDescent="0.25">
      <c r="A1066" s="65">
        <v>43944</v>
      </c>
      <c r="B1066" s="66">
        <v>9313.9</v>
      </c>
      <c r="C1066" s="66">
        <v>9232.35</v>
      </c>
      <c r="D1066" s="66">
        <v>9343.6</v>
      </c>
      <c r="E1066" s="66">
        <v>9170.15</v>
      </c>
      <c r="F1066" s="67" t="s">
        <v>1651</v>
      </c>
      <c r="G1066" s="68">
        <v>1.38E-2</v>
      </c>
      <c r="H1066" s="64"/>
    </row>
    <row r="1067" spans="1:8" x14ac:dyDescent="0.25">
      <c r="A1067" s="65">
        <v>43945</v>
      </c>
      <c r="B1067" s="66">
        <v>9154.4</v>
      </c>
      <c r="C1067" s="66">
        <v>9163.9</v>
      </c>
      <c r="D1067" s="66">
        <v>9296.9</v>
      </c>
      <c r="E1067" s="66">
        <v>9141.2999999999993</v>
      </c>
      <c r="F1067" s="67" t="s">
        <v>1650</v>
      </c>
      <c r="G1067" s="68">
        <v>-1.7100000000000001E-2</v>
      </c>
      <c r="H1067" s="64"/>
    </row>
    <row r="1068" spans="1:8" x14ac:dyDescent="0.25">
      <c r="A1068" s="65">
        <v>43948</v>
      </c>
      <c r="B1068" s="66">
        <v>9282.2999999999993</v>
      </c>
      <c r="C1068" s="66">
        <v>9259.7000000000007</v>
      </c>
      <c r="D1068" s="66">
        <v>9377.1</v>
      </c>
      <c r="E1068" s="66">
        <v>9250.35</v>
      </c>
      <c r="F1068" s="67" t="s">
        <v>1649</v>
      </c>
      <c r="G1068" s="68">
        <v>1.4E-2</v>
      </c>
      <c r="H1068" s="64"/>
    </row>
    <row r="1069" spans="1:8" x14ac:dyDescent="0.25">
      <c r="A1069" s="65">
        <v>43949</v>
      </c>
      <c r="B1069" s="66">
        <v>9380.9</v>
      </c>
      <c r="C1069" s="66">
        <v>9389.7999999999993</v>
      </c>
      <c r="D1069" s="66">
        <v>9404.4</v>
      </c>
      <c r="E1069" s="66">
        <v>9260</v>
      </c>
      <c r="F1069" s="67" t="s">
        <v>1648</v>
      </c>
      <c r="G1069" s="68">
        <v>1.06E-2</v>
      </c>
      <c r="H1069" s="64"/>
    </row>
    <row r="1070" spans="1:8" x14ac:dyDescent="0.25">
      <c r="A1070" s="65">
        <v>43950</v>
      </c>
      <c r="B1070" s="66">
        <v>9553.35</v>
      </c>
      <c r="C1070" s="66">
        <v>9408.6</v>
      </c>
      <c r="D1070" s="66">
        <v>9599.85</v>
      </c>
      <c r="E1070" s="66">
        <v>9392.35</v>
      </c>
      <c r="F1070" s="67" t="s">
        <v>1647</v>
      </c>
      <c r="G1070" s="68">
        <v>1.84E-2</v>
      </c>
      <c r="H1070" s="64"/>
    </row>
    <row r="1071" spans="1:8" x14ac:dyDescent="0.25">
      <c r="A1071" s="65">
        <v>43951</v>
      </c>
      <c r="B1071" s="66">
        <v>9859.9</v>
      </c>
      <c r="C1071" s="66">
        <v>9753.5</v>
      </c>
      <c r="D1071" s="66">
        <v>9889.0499999999993</v>
      </c>
      <c r="E1071" s="66">
        <v>9731.5</v>
      </c>
      <c r="F1071" s="67" t="s">
        <v>1646</v>
      </c>
      <c r="G1071" s="68">
        <v>3.2099999999999997E-2</v>
      </c>
      <c r="H1071" s="64"/>
    </row>
    <row r="1072" spans="1:8" x14ac:dyDescent="0.25">
      <c r="A1072" s="65">
        <v>43955</v>
      </c>
      <c r="B1072" s="66">
        <v>9293.5</v>
      </c>
      <c r="C1072" s="66">
        <v>9533.5</v>
      </c>
      <c r="D1072" s="66">
        <v>9533.5</v>
      </c>
      <c r="E1072" s="66">
        <v>9266.9500000000007</v>
      </c>
      <c r="F1072" s="67" t="s">
        <v>1645</v>
      </c>
      <c r="G1072" s="68">
        <v>-5.74E-2</v>
      </c>
      <c r="H1072" s="64"/>
    </row>
    <row r="1073" spans="1:8" x14ac:dyDescent="0.25">
      <c r="A1073" s="65">
        <v>43956</v>
      </c>
      <c r="B1073" s="66">
        <v>9205.6</v>
      </c>
      <c r="C1073" s="66">
        <v>9429.4</v>
      </c>
      <c r="D1073" s="66">
        <v>9450.9</v>
      </c>
      <c r="E1073" s="66">
        <v>9190.75</v>
      </c>
      <c r="F1073" s="67" t="s">
        <v>1644</v>
      </c>
      <c r="G1073" s="68">
        <v>-9.4999999999999998E-3</v>
      </c>
      <c r="H1073" s="64"/>
    </row>
    <row r="1074" spans="1:8" x14ac:dyDescent="0.25">
      <c r="A1074" s="65">
        <v>43957</v>
      </c>
      <c r="B1074" s="66">
        <v>9270.9</v>
      </c>
      <c r="C1074" s="66">
        <v>9226.7999999999993</v>
      </c>
      <c r="D1074" s="66">
        <v>9346.9</v>
      </c>
      <c r="E1074" s="66">
        <v>9116.5</v>
      </c>
      <c r="F1074" s="67" t="s">
        <v>1643</v>
      </c>
      <c r="G1074" s="68">
        <v>7.1000000000000004E-3</v>
      </c>
      <c r="H1074" s="64"/>
    </row>
    <row r="1075" spans="1:8" x14ac:dyDescent="0.25">
      <c r="A1075" s="65">
        <v>43958</v>
      </c>
      <c r="B1075" s="66">
        <v>9199.0499999999993</v>
      </c>
      <c r="C1075" s="66">
        <v>9234.0499999999993</v>
      </c>
      <c r="D1075" s="66">
        <v>9277.85</v>
      </c>
      <c r="E1075" s="66">
        <v>9175.9</v>
      </c>
      <c r="F1075" s="67" t="s">
        <v>1642</v>
      </c>
      <c r="G1075" s="68">
        <v>-7.7999999999999996E-3</v>
      </c>
      <c r="H1075" s="64"/>
    </row>
    <row r="1076" spans="1:8" x14ac:dyDescent="0.25">
      <c r="A1076" s="65">
        <v>43959</v>
      </c>
      <c r="B1076" s="66">
        <v>9251.5</v>
      </c>
      <c r="C1076" s="66">
        <v>9376.9500000000007</v>
      </c>
      <c r="D1076" s="66">
        <v>9382.65</v>
      </c>
      <c r="E1076" s="66">
        <v>9238.2000000000007</v>
      </c>
      <c r="F1076" s="67" t="s">
        <v>1641</v>
      </c>
      <c r="G1076" s="68">
        <v>5.7000000000000002E-3</v>
      </c>
      <c r="H1076" s="64"/>
    </row>
    <row r="1077" spans="1:8" x14ac:dyDescent="0.25">
      <c r="A1077" s="65">
        <v>43962</v>
      </c>
      <c r="B1077" s="66">
        <v>9239.2000000000007</v>
      </c>
      <c r="C1077" s="66">
        <v>9348.15</v>
      </c>
      <c r="D1077" s="66">
        <v>9439.9</v>
      </c>
      <c r="E1077" s="66">
        <v>9219.9500000000007</v>
      </c>
      <c r="F1077" s="67" t="s">
        <v>1464</v>
      </c>
      <c r="G1077" s="68">
        <v>-1.2999999999999999E-3</v>
      </c>
      <c r="H1077" s="64"/>
    </row>
    <row r="1078" spans="1:8" x14ac:dyDescent="0.25">
      <c r="A1078" s="65">
        <v>43963</v>
      </c>
      <c r="B1078" s="66">
        <v>9196.5499999999993</v>
      </c>
      <c r="C1078" s="66">
        <v>9168.85</v>
      </c>
      <c r="D1078" s="66">
        <v>9240.85</v>
      </c>
      <c r="E1078" s="66">
        <v>9043.9500000000007</v>
      </c>
      <c r="F1078" s="67" t="s">
        <v>1640</v>
      </c>
      <c r="G1078" s="68">
        <v>-4.5999999999999999E-3</v>
      </c>
      <c r="H1078" s="64"/>
    </row>
    <row r="1079" spans="1:8" x14ac:dyDescent="0.25">
      <c r="A1079" s="65">
        <v>43964</v>
      </c>
      <c r="B1079" s="66">
        <v>9383.5499999999993</v>
      </c>
      <c r="C1079" s="66">
        <v>9584.2000000000007</v>
      </c>
      <c r="D1079" s="66">
        <v>9584.5</v>
      </c>
      <c r="E1079" s="66">
        <v>9351.1</v>
      </c>
      <c r="F1079" s="67" t="s">
        <v>1639</v>
      </c>
      <c r="G1079" s="68">
        <v>2.0299999999999999E-2</v>
      </c>
      <c r="H1079" s="64"/>
    </row>
    <row r="1080" spans="1:8" x14ac:dyDescent="0.25">
      <c r="A1080" s="65">
        <v>43965</v>
      </c>
      <c r="B1080" s="66">
        <v>9142.75</v>
      </c>
      <c r="C1080" s="66">
        <v>9213.9500000000007</v>
      </c>
      <c r="D1080" s="66">
        <v>9281.1</v>
      </c>
      <c r="E1080" s="66">
        <v>9119.75</v>
      </c>
      <c r="F1080" s="67" t="s">
        <v>1638</v>
      </c>
      <c r="G1080" s="68">
        <v>-2.5700000000000001E-2</v>
      </c>
      <c r="H1080" s="64"/>
    </row>
    <row r="1081" spans="1:8" x14ac:dyDescent="0.25">
      <c r="A1081" s="65">
        <v>43966</v>
      </c>
      <c r="B1081" s="66">
        <v>9136.85</v>
      </c>
      <c r="C1081" s="66">
        <v>9182.4</v>
      </c>
      <c r="D1081" s="66">
        <v>9182.4</v>
      </c>
      <c r="E1081" s="66">
        <v>9050</v>
      </c>
      <c r="F1081" s="67" t="s">
        <v>1637</v>
      </c>
      <c r="G1081" s="68">
        <v>-5.9999999999999995E-4</v>
      </c>
      <c r="H1081" s="64"/>
    </row>
    <row r="1082" spans="1:8" x14ac:dyDescent="0.25">
      <c r="A1082" s="65">
        <v>43969</v>
      </c>
      <c r="B1082" s="66">
        <v>8823.25</v>
      </c>
      <c r="C1082" s="66">
        <v>9158.2999999999993</v>
      </c>
      <c r="D1082" s="66">
        <v>9158.2999999999993</v>
      </c>
      <c r="E1082" s="66">
        <v>8806.75</v>
      </c>
      <c r="F1082" s="67" t="s">
        <v>1636</v>
      </c>
      <c r="G1082" s="68">
        <v>-3.4299999999999997E-2</v>
      </c>
      <c r="H1082" s="64"/>
    </row>
    <row r="1083" spans="1:8" x14ac:dyDescent="0.25">
      <c r="A1083" s="65">
        <v>43970</v>
      </c>
      <c r="B1083" s="66">
        <v>8879.1</v>
      </c>
      <c r="C1083" s="66">
        <v>8961.7000000000007</v>
      </c>
      <c r="D1083" s="66">
        <v>9030.35</v>
      </c>
      <c r="E1083" s="66">
        <v>8855.2999999999993</v>
      </c>
      <c r="F1083" s="67" t="s">
        <v>1635</v>
      </c>
      <c r="G1083" s="68">
        <v>6.3E-3</v>
      </c>
      <c r="H1083" s="64"/>
    </row>
    <row r="1084" spans="1:8" x14ac:dyDescent="0.25">
      <c r="A1084" s="65">
        <v>43971</v>
      </c>
      <c r="B1084" s="66">
        <v>9066.5499999999993</v>
      </c>
      <c r="C1084" s="66">
        <v>8889.15</v>
      </c>
      <c r="D1084" s="66">
        <v>9093.7999999999993</v>
      </c>
      <c r="E1084" s="66">
        <v>8875.35</v>
      </c>
      <c r="F1084" s="67" t="s">
        <v>1634</v>
      </c>
      <c r="G1084" s="68">
        <v>2.1100000000000001E-2</v>
      </c>
      <c r="H1084" s="64"/>
    </row>
    <row r="1085" spans="1:8" x14ac:dyDescent="0.25">
      <c r="A1085" s="65">
        <v>43972</v>
      </c>
      <c r="B1085" s="66">
        <v>9106.25</v>
      </c>
      <c r="C1085" s="66">
        <v>9079.4500000000007</v>
      </c>
      <c r="D1085" s="66">
        <v>9178.5499999999993</v>
      </c>
      <c r="E1085" s="66">
        <v>9056.1</v>
      </c>
      <c r="F1085" s="67" t="s">
        <v>1633</v>
      </c>
      <c r="G1085" s="68">
        <v>4.4000000000000003E-3</v>
      </c>
      <c r="H1085" s="64"/>
    </row>
    <row r="1086" spans="1:8" x14ac:dyDescent="0.25">
      <c r="A1086" s="65">
        <v>43973</v>
      </c>
      <c r="B1086" s="66">
        <v>9039.25</v>
      </c>
      <c r="C1086" s="66">
        <v>9067.9</v>
      </c>
      <c r="D1086" s="66">
        <v>9149.6</v>
      </c>
      <c r="E1086" s="66">
        <v>8968.5499999999993</v>
      </c>
      <c r="F1086" s="67" t="s">
        <v>1632</v>
      </c>
      <c r="G1086" s="68">
        <v>-7.4000000000000003E-3</v>
      </c>
      <c r="H1086" s="64"/>
    </row>
    <row r="1087" spans="1:8" x14ac:dyDescent="0.25">
      <c r="A1087" s="65">
        <v>43977</v>
      </c>
      <c r="B1087" s="66">
        <v>9029.0499999999993</v>
      </c>
      <c r="C1087" s="66">
        <v>9099.75</v>
      </c>
      <c r="D1087" s="66">
        <v>9161.65</v>
      </c>
      <c r="E1087" s="66">
        <v>8996.65</v>
      </c>
      <c r="F1087" s="67" t="s">
        <v>1631</v>
      </c>
      <c r="G1087" s="68">
        <v>-1.1000000000000001E-3</v>
      </c>
      <c r="H1087" s="64"/>
    </row>
    <row r="1088" spans="1:8" x14ac:dyDescent="0.25">
      <c r="A1088" s="65">
        <v>43978</v>
      </c>
      <c r="B1088" s="66">
        <v>9314.9500000000007</v>
      </c>
      <c r="C1088" s="66">
        <v>9082.2000000000007</v>
      </c>
      <c r="D1088" s="66">
        <v>9334</v>
      </c>
      <c r="E1088" s="66">
        <v>9004.25</v>
      </c>
      <c r="F1088" s="67" t="s">
        <v>1630</v>
      </c>
      <c r="G1088" s="68">
        <v>3.1699999999999999E-2</v>
      </c>
      <c r="H1088" s="64"/>
    </row>
    <row r="1089" spans="1:8" x14ac:dyDescent="0.25">
      <c r="A1089" s="65">
        <v>43979</v>
      </c>
      <c r="B1089" s="66">
        <v>9490.1</v>
      </c>
      <c r="C1089" s="66">
        <v>9364.9500000000007</v>
      </c>
      <c r="D1089" s="66">
        <v>9511.25</v>
      </c>
      <c r="E1089" s="66">
        <v>9336.5</v>
      </c>
      <c r="F1089" s="67" t="s">
        <v>1629</v>
      </c>
      <c r="G1089" s="68">
        <v>1.8800000000000001E-2</v>
      </c>
      <c r="H1089" s="64"/>
    </row>
    <row r="1090" spans="1:8" x14ac:dyDescent="0.25">
      <c r="A1090" s="65">
        <v>43980</v>
      </c>
      <c r="B1090" s="66">
        <v>9580.2999999999993</v>
      </c>
      <c r="C1090" s="66">
        <v>9422.2000000000007</v>
      </c>
      <c r="D1090" s="66">
        <v>9598.85</v>
      </c>
      <c r="E1090" s="66">
        <v>9376.9</v>
      </c>
      <c r="F1090" s="67" t="s">
        <v>1628</v>
      </c>
      <c r="G1090" s="68">
        <v>9.4999999999999998E-3</v>
      </c>
      <c r="H1090" s="64"/>
    </row>
    <row r="1091" spans="1:8" x14ac:dyDescent="0.25">
      <c r="A1091" s="65">
        <v>43983</v>
      </c>
      <c r="B1091" s="66">
        <v>9826.15</v>
      </c>
      <c r="C1091" s="66">
        <v>9726.85</v>
      </c>
      <c r="D1091" s="66">
        <v>9931.6</v>
      </c>
      <c r="E1091" s="66">
        <v>9706.9500000000007</v>
      </c>
      <c r="F1091" s="67" t="s">
        <v>1627</v>
      </c>
      <c r="G1091" s="68">
        <v>2.5700000000000001E-2</v>
      </c>
      <c r="H1091" s="64"/>
    </row>
    <row r="1092" spans="1:8" x14ac:dyDescent="0.25">
      <c r="A1092" s="65">
        <v>43984</v>
      </c>
      <c r="B1092" s="66">
        <v>9979.1</v>
      </c>
      <c r="C1092" s="66">
        <v>9880.85</v>
      </c>
      <c r="D1092" s="66">
        <v>9995.6</v>
      </c>
      <c r="E1092" s="66">
        <v>9824.0499999999993</v>
      </c>
      <c r="F1092" s="67" t="s">
        <v>1626</v>
      </c>
      <c r="G1092" s="68">
        <v>1.5599999999999999E-2</v>
      </c>
      <c r="H1092" s="64"/>
    </row>
    <row r="1093" spans="1:8" x14ac:dyDescent="0.25">
      <c r="A1093" s="65">
        <v>43985</v>
      </c>
      <c r="B1093" s="66">
        <v>10061.549999999999</v>
      </c>
      <c r="C1093" s="66">
        <v>10108.299999999999</v>
      </c>
      <c r="D1093" s="66">
        <v>10176.200000000001</v>
      </c>
      <c r="E1093" s="66">
        <v>10035.549999999999</v>
      </c>
      <c r="F1093" s="67" t="s">
        <v>1625</v>
      </c>
      <c r="G1093" s="68">
        <v>8.3000000000000001E-3</v>
      </c>
      <c r="H1093" s="64"/>
    </row>
    <row r="1094" spans="1:8" x14ac:dyDescent="0.25">
      <c r="A1094" s="65">
        <v>43986</v>
      </c>
      <c r="B1094" s="66">
        <v>10029.1</v>
      </c>
      <c r="C1094" s="66">
        <v>10054.25</v>
      </c>
      <c r="D1094" s="66">
        <v>10123.85</v>
      </c>
      <c r="E1094" s="66">
        <v>9944.25</v>
      </c>
      <c r="F1094" s="67" t="s">
        <v>1624</v>
      </c>
      <c r="G1094" s="68">
        <v>-3.2000000000000002E-3</v>
      </c>
      <c r="H1094" s="64"/>
    </row>
    <row r="1095" spans="1:8" x14ac:dyDescent="0.25">
      <c r="A1095" s="65">
        <v>43987</v>
      </c>
      <c r="B1095" s="66">
        <v>10142.15</v>
      </c>
      <c r="C1095" s="66">
        <v>10093.799999999999</v>
      </c>
      <c r="D1095" s="66">
        <v>10177.799999999999</v>
      </c>
      <c r="E1095" s="66">
        <v>10040.75</v>
      </c>
      <c r="F1095" s="67" t="s">
        <v>1623</v>
      </c>
      <c r="G1095" s="68">
        <v>1.1299999999999999E-2</v>
      </c>
      <c r="H1095" s="64"/>
    </row>
    <row r="1096" spans="1:8" x14ac:dyDescent="0.25">
      <c r="A1096" s="65">
        <v>43990</v>
      </c>
      <c r="B1096" s="66">
        <v>10167.450000000001</v>
      </c>
      <c r="C1096" s="66">
        <v>10326.75</v>
      </c>
      <c r="D1096" s="66">
        <v>10328.5</v>
      </c>
      <c r="E1096" s="66">
        <v>10120.25</v>
      </c>
      <c r="F1096" s="67" t="s">
        <v>1622</v>
      </c>
      <c r="G1096" s="68">
        <v>2.5000000000000001E-3</v>
      </c>
      <c r="H1096" s="64"/>
    </row>
    <row r="1097" spans="1:8" x14ac:dyDescent="0.25">
      <c r="A1097" s="65">
        <v>43991</v>
      </c>
      <c r="B1097" s="66">
        <v>10046.65</v>
      </c>
      <c r="C1097" s="66">
        <v>10181.15</v>
      </c>
      <c r="D1097" s="66">
        <v>10291.15</v>
      </c>
      <c r="E1097" s="66">
        <v>10021.450000000001</v>
      </c>
      <c r="F1097" s="67" t="s">
        <v>1621</v>
      </c>
      <c r="G1097" s="68">
        <v>-1.1900000000000001E-2</v>
      </c>
      <c r="H1097" s="64"/>
    </row>
    <row r="1098" spans="1:8" x14ac:dyDescent="0.25">
      <c r="A1098" s="65">
        <v>43992</v>
      </c>
      <c r="B1098" s="66">
        <v>10116.15</v>
      </c>
      <c r="C1098" s="66">
        <v>10072.6</v>
      </c>
      <c r="D1098" s="66">
        <v>10148.75</v>
      </c>
      <c r="E1098" s="66">
        <v>10036.85</v>
      </c>
      <c r="F1098" s="67" t="s">
        <v>1620</v>
      </c>
      <c r="G1098" s="68">
        <v>6.8999999999999999E-3</v>
      </c>
      <c r="H1098" s="64"/>
    </row>
    <row r="1099" spans="1:8" x14ac:dyDescent="0.25">
      <c r="A1099" s="65">
        <v>43993</v>
      </c>
      <c r="B1099" s="66">
        <v>9902</v>
      </c>
      <c r="C1099" s="66">
        <v>10094.1</v>
      </c>
      <c r="D1099" s="66">
        <v>10112.049999999999</v>
      </c>
      <c r="E1099" s="66">
        <v>9885.0499999999993</v>
      </c>
      <c r="F1099" s="67" t="s">
        <v>1619</v>
      </c>
      <c r="G1099" s="68">
        <v>-2.12E-2</v>
      </c>
      <c r="H1099" s="64"/>
    </row>
    <row r="1100" spans="1:8" x14ac:dyDescent="0.25">
      <c r="A1100" s="65">
        <v>43994</v>
      </c>
      <c r="B1100" s="66">
        <v>9972.9</v>
      </c>
      <c r="C1100" s="66">
        <v>9544.9500000000007</v>
      </c>
      <c r="D1100" s="66">
        <v>9996.0499999999993</v>
      </c>
      <c r="E1100" s="66">
        <v>9544.35</v>
      </c>
      <c r="F1100" s="67" t="s">
        <v>1618</v>
      </c>
      <c r="G1100" s="68">
        <v>7.1999999999999998E-3</v>
      </c>
      <c r="H1100" s="64"/>
    </row>
    <row r="1101" spans="1:8" x14ac:dyDescent="0.25">
      <c r="A1101" s="65">
        <v>43997</v>
      </c>
      <c r="B1101" s="66">
        <v>9813.7000000000007</v>
      </c>
      <c r="C1101" s="66">
        <v>9919.35</v>
      </c>
      <c r="D1101" s="66">
        <v>9943.35</v>
      </c>
      <c r="E1101" s="66">
        <v>9726.35</v>
      </c>
      <c r="F1101" s="67" t="s">
        <v>1617</v>
      </c>
      <c r="G1101" s="68">
        <v>-1.6E-2</v>
      </c>
      <c r="H1101" s="64"/>
    </row>
    <row r="1102" spans="1:8" x14ac:dyDescent="0.25">
      <c r="A1102" s="65">
        <v>43998</v>
      </c>
      <c r="B1102" s="66">
        <v>9914</v>
      </c>
      <c r="C1102" s="66">
        <v>10014.799999999999</v>
      </c>
      <c r="D1102" s="66">
        <v>10046.15</v>
      </c>
      <c r="E1102" s="66">
        <v>9728.5</v>
      </c>
      <c r="F1102" s="67" t="s">
        <v>1616</v>
      </c>
      <c r="G1102" s="68">
        <v>1.0200000000000001E-2</v>
      </c>
      <c r="H1102" s="64"/>
    </row>
    <row r="1103" spans="1:8" x14ac:dyDescent="0.25">
      <c r="A1103" s="65">
        <v>43999</v>
      </c>
      <c r="B1103" s="66">
        <v>9881.15</v>
      </c>
      <c r="C1103" s="66">
        <v>9876.7000000000007</v>
      </c>
      <c r="D1103" s="66">
        <v>10003.6</v>
      </c>
      <c r="E1103" s="66">
        <v>9833.7999999999993</v>
      </c>
      <c r="F1103" s="67" t="s">
        <v>1615</v>
      </c>
      <c r="G1103" s="68">
        <v>-3.3E-3</v>
      </c>
      <c r="H1103" s="64"/>
    </row>
    <row r="1104" spans="1:8" x14ac:dyDescent="0.25">
      <c r="A1104" s="65">
        <v>44000</v>
      </c>
      <c r="B1104" s="66">
        <v>10091.65</v>
      </c>
      <c r="C1104" s="66">
        <v>9863.25</v>
      </c>
      <c r="D1104" s="66">
        <v>10111.200000000001</v>
      </c>
      <c r="E1104" s="66">
        <v>9845.0499999999993</v>
      </c>
      <c r="F1104" s="67" t="s">
        <v>1614</v>
      </c>
      <c r="G1104" s="68">
        <v>2.1299999999999999E-2</v>
      </c>
      <c r="H1104" s="64"/>
    </row>
    <row r="1105" spans="1:8" x14ac:dyDescent="0.25">
      <c r="A1105" s="65">
        <v>44001</v>
      </c>
      <c r="B1105" s="66">
        <v>10244.4</v>
      </c>
      <c r="C1105" s="66">
        <v>10119</v>
      </c>
      <c r="D1105" s="66">
        <v>10272.4</v>
      </c>
      <c r="E1105" s="66">
        <v>10072.65</v>
      </c>
      <c r="F1105" s="67" t="s">
        <v>1613</v>
      </c>
      <c r="G1105" s="68">
        <v>1.5100000000000001E-2</v>
      </c>
      <c r="H1105" s="64"/>
    </row>
    <row r="1106" spans="1:8" x14ac:dyDescent="0.25">
      <c r="A1106" s="65">
        <v>44004</v>
      </c>
      <c r="B1106" s="66">
        <v>10311.200000000001</v>
      </c>
      <c r="C1106" s="66">
        <v>10318.75</v>
      </c>
      <c r="D1106" s="66">
        <v>10393.65</v>
      </c>
      <c r="E1106" s="66">
        <v>10277.6</v>
      </c>
      <c r="F1106" s="67" t="s">
        <v>1612</v>
      </c>
      <c r="G1106" s="68">
        <v>6.4999999999999997E-3</v>
      </c>
      <c r="H1106" s="64"/>
    </row>
    <row r="1107" spans="1:8" x14ac:dyDescent="0.25">
      <c r="A1107" s="65">
        <v>44005</v>
      </c>
      <c r="B1107" s="66">
        <v>10471</v>
      </c>
      <c r="C1107" s="66">
        <v>10347.950000000001</v>
      </c>
      <c r="D1107" s="66">
        <v>10484.700000000001</v>
      </c>
      <c r="E1107" s="66">
        <v>10301.75</v>
      </c>
      <c r="F1107" s="67" t="s">
        <v>1611</v>
      </c>
      <c r="G1107" s="68">
        <v>1.55E-2</v>
      </c>
      <c r="H1107" s="64"/>
    </row>
    <row r="1108" spans="1:8" x14ac:dyDescent="0.25">
      <c r="A1108" s="65">
        <v>44006</v>
      </c>
      <c r="B1108" s="66">
        <v>10305.299999999999</v>
      </c>
      <c r="C1108" s="66">
        <v>10529.25</v>
      </c>
      <c r="D1108" s="66">
        <v>10553.15</v>
      </c>
      <c r="E1108" s="66">
        <v>10281.950000000001</v>
      </c>
      <c r="F1108" s="67" t="s">
        <v>1610</v>
      </c>
      <c r="G1108" s="68">
        <v>-1.5800000000000002E-2</v>
      </c>
      <c r="H1108" s="64"/>
    </row>
    <row r="1109" spans="1:8" x14ac:dyDescent="0.25">
      <c r="A1109" s="65">
        <v>44007</v>
      </c>
      <c r="B1109" s="66">
        <v>10288.9</v>
      </c>
      <c r="C1109" s="66">
        <v>10235.549999999999</v>
      </c>
      <c r="D1109" s="66">
        <v>10361.799999999999</v>
      </c>
      <c r="E1109" s="66">
        <v>10194.5</v>
      </c>
      <c r="F1109" s="67" t="s">
        <v>1609</v>
      </c>
      <c r="G1109" s="68">
        <v>-1.6000000000000001E-3</v>
      </c>
      <c r="H1109" s="64"/>
    </row>
    <row r="1110" spans="1:8" x14ac:dyDescent="0.25">
      <c r="A1110" s="65">
        <v>44008</v>
      </c>
      <c r="B1110" s="66">
        <v>10383</v>
      </c>
      <c r="C1110" s="66">
        <v>10378.9</v>
      </c>
      <c r="D1110" s="66">
        <v>10409.85</v>
      </c>
      <c r="E1110" s="66">
        <v>10311.25</v>
      </c>
      <c r="F1110" s="67" t="s">
        <v>1608</v>
      </c>
      <c r="G1110" s="68">
        <v>9.1000000000000004E-3</v>
      </c>
      <c r="H1110" s="64"/>
    </row>
    <row r="1111" spans="1:8" x14ac:dyDescent="0.25">
      <c r="A1111" s="65">
        <v>44011</v>
      </c>
      <c r="B1111" s="66">
        <v>10312.4</v>
      </c>
      <c r="C1111" s="66">
        <v>10311.950000000001</v>
      </c>
      <c r="D1111" s="66">
        <v>10337.950000000001</v>
      </c>
      <c r="E1111" s="66">
        <v>10223.6</v>
      </c>
      <c r="F1111" s="67" t="s">
        <v>1607</v>
      </c>
      <c r="G1111" s="68">
        <v>-6.7999999999999996E-3</v>
      </c>
      <c r="H1111" s="64"/>
    </row>
    <row r="1112" spans="1:8" x14ac:dyDescent="0.25">
      <c r="A1112" s="65">
        <v>44012</v>
      </c>
      <c r="B1112" s="66">
        <v>10302.1</v>
      </c>
      <c r="C1112" s="66">
        <v>10382.6</v>
      </c>
      <c r="D1112" s="66">
        <v>10401.049999999999</v>
      </c>
      <c r="E1112" s="66">
        <v>10267.35</v>
      </c>
      <c r="F1112" s="67" t="s">
        <v>1606</v>
      </c>
      <c r="G1112" s="68">
        <v>-1E-3</v>
      </c>
      <c r="H1112" s="64"/>
    </row>
    <row r="1113" spans="1:8" x14ac:dyDescent="0.25">
      <c r="A1113" s="65">
        <v>44013</v>
      </c>
      <c r="B1113" s="66">
        <v>10430.049999999999</v>
      </c>
      <c r="C1113" s="66">
        <v>10323.799999999999</v>
      </c>
      <c r="D1113" s="66">
        <v>10447.049999999999</v>
      </c>
      <c r="E1113" s="66">
        <v>10299.6</v>
      </c>
      <c r="F1113" s="67" t="s">
        <v>1605</v>
      </c>
      <c r="G1113" s="68">
        <v>1.24E-2</v>
      </c>
      <c r="H1113" s="64"/>
    </row>
    <row r="1114" spans="1:8" x14ac:dyDescent="0.25">
      <c r="A1114" s="65">
        <v>44014</v>
      </c>
      <c r="B1114" s="66">
        <v>10551.7</v>
      </c>
      <c r="C1114" s="66">
        <v>10493.05</v>
      </c>
      <c r="D1114" s="66">
        <v>10598.2</v>
      </c>
      <c r="E1114" s="66">
        <v>10485.549999999999</v>
      </c>
      <c r="F1114" s="67" t="s">
        <v>1604</v>
      </c>
      <c r="G1114" s="68">
        <v>1.17E-2</v>
      </c>
      <c r="H1114" s="64"/>
    </row>
    <row r="1115" spans="1:8" x14ac:dyDescent="0.25">
      <c r="A1115" s="65">
        <v>44015</v>
      </c>
      <c r="B1115" s="66">
        <v>10607.35</v>
      </c>
      <c r="C1115" s="66">
        <v>10614.95</v>
      </c>
      <c r="D1115" s="66">
        <v>10631.3</v>
      </c>
      <c r="E1115" s="66">
        <v>10562.65</v>
      </c>
      <c r="F1115" s="67" t="s">
        <v>1603</v>
      </c>
      <c r="G1115" s="68">
        <v>5.3E-3</v>
      </c>
      <c r="H1115" s="64"/>
    </row>
    <row r="1116" spans="1:8" x14ac:dyDescent="0.25">
      <c r="A1116" s="65">
        <v>44018</v>
      </c>
      <c r="B1116" s="66">
        <v>10763.65</v>
      </c>
      <c r="C1116" s="66">
        <v>10723.85</v>
      </c>
      <c r="D1116" s="66">
        <v>10811.4</v>
      </c>
      <c r="E1116" s="66">
        <v>10695.1</v>
      </c>
      <c r="F1116" s="67" t="s">
        <v>1602</v>
      </c>
      <c r="G1116" s="68">
        <v>1.47E-2</v>
      </c>
      <c r="H1116" s="64"/>
    </row>
    <row r="1117" spans="1:8" x14ac:dyDescent="0.25">
      <c r="A1117" s="65">
        <v>44019</v>
      </c>
      <c r="B1117" s="66">
        <v>10799.65</v>
      </c>
      <c r="C1117" s="66">
        <v>10802.85</v>
      </c>
      <c r="D1117" s="66">
        <v>10813.8</v>
      </c>
      <c r="E1117" s="66">
        <v>10689.7</v>
      </c>
      <c r="F1117" s="67" t="s">
        <v>1601</v>
      </c>
      <c r="G1117" s="68">
        <v>3.3E-3</v>
      </c>
      <c r="H1117" s="64"/>
    </row>
    <row r="1118" spans="1:8" x14ac:dyDescent="0.25">
      <c r="A1118" s="65">
        <v>44020</v>
      </c>
      <c r="B1118" s="66">
        <v>10705.75</v>
      </c>
      <c r="C1118" s="66">
        <v>10818.65</v>
      </c>
      <c r="D1118" s="66">
        <v>10847.85</v>
      </c>
      <c r="E1118" s="66">
        <v>10676.55</v>
      </c>
      <c r="F1118" s="67" t="s">
        <v>1600</v>
      </c>
      <c r="G1118" s="68">
        <v>-8.6999999999999994E-3</v>
      </c>
      <c r="H1118" s="64"/>
    </row>
    <row r="1119" spans="1:8" x14ac:dyDescent="0.25">
      <c r="A1119" s="65">
        <v>44021</v>
      </c>
      <c r="B1119" s="66">
        <v>10813.45</v>
      </c>
      <c r="C1119" s="66">
        <v>10755.55</v>
      </c>
      <c r="D1119" s="66">
        <v>10836.85</v>
      </c>
      <c r="E1119" s="66">
        <v>10733</v>
      </c>
      <c r="F1119" s="67" t="s">
        <v>1599</v>
      </c>
      <c r="G1119" s="68">
        <v>1.01E-2</v>
      </c>
      <c r="H1119" s="64"/>
    </row>
    <row r="1120" spans="1:8" x14ac:dyDescent="0.25">
      <c r="A1120" s="65">
        <v>44022</v>
      </c>
      <c r="B1120" s="66">
        <v>10768.05</v>
      </c>
      <c r="C1120" s="66">
        <v>10764.1</v>
      </c>
      <c r="D1120" s="66">
        <v>10819.4</v>
      </c>
      <c r="E1120" s="66">
        <v>10713</v>
      </c>
      <c r="F1120" s="67" t="s">
        <v>1598</v>
      </c>
      <c r="G1120" s="68">
        <v>-4.1999999999999997E-3</v>
      </c>
      <c r="H1120" s="64"/>
    </row>
    <row r="1121" spans="1:8" x14ac:dyDescent="0.25">
      <c r="A1121" s="65">
        <v>44025</v>
      </c>
      <c r="B1121" s="66">
        <v>10802.7</v>
      </c>
      <c r="C1121" s="66">
        <v>10851.85</v>
      </c>
      <c r="D1121" s="66">
        <v>10894.05</v>
      </c>
      <c r="E1121" s="66">
        <v>10756.05</v>
      </c>
      <c r="F1121" s="67" t="s">
        <v>1597</v>
      </c>
      <c r="G1121" s="68">
        <v>3.2000000000000002E-3</v>
      </c>
      <c r="H1121" s="64"/>
    </row>
    <row r="1122" spans="1:8" x14ac:dyDescent="0.25">
      <c r="A1122" s="65">
        <v>44026</v>
      </c>
      <c r="B1122" s="66">
        <v>10607.35</v>
      </c>
      <c r="C1122" s="66">
        <v>10750.85</v>
      </c>
      <c r="D1122" s="66">
        <v>10755.65</v>
      </c>
      <c r="E1122" s="66">
        <v>10562.9</v>
      </c>
      <c r="F1122" s="67" t="s">
        <v>1596</v>
      </c>
      <c r="G1122" s="68">
        <v>-1.8100000000000002E-2</v>
      </c>
      <c r="H1122" s="64"/>
    </row>
    <row r="1123" spans="1:8" x14ac:dyDescent="0.25">
      <c r="A1123" s="65">
        <v>44027</v>
      </c>
      <c r="B1123" s="66">
        <v>10618.2</v>
      </c>
      <c r="C1123" s="66">
        <v>10701</v>
      </c>
      <c r="D1123" s="66">
        <v>10827.45</v>
      </c>
      <c r="E1123" s="66">
        <v>10577.75</v>
      </c>
      <c r="F1123" s="67" t="s">
        <v>1595</v>
      </c>
      <c r="G1123" s="68">
        <v>1E-3</v>
      </c>
      <c r="H1123" s="64"/>
    </row>
    <row r="1124" spans="1:8" x14ac:dyDescent="0.25">
      <c r="A1124" s="65">
        <v>44028</v>
      </c>
      <c r="B1124" s="66">
        <v>10739.95</v>
      </c>
      <c r="C1124" s="66">
        <v>10706.2</v>
      </c>
      <c r="D1124" s="66">
        <v>10755.3</v>
      </c>
      <c r="E1124" s="66">
        <v>10595.2</v>
      </c>
      <c r="F1124" s="67" t="s">
        <v>1594</v>
      </c>
      <c r="G1124" s="68">
        <v>1.15E-2</v>
      </c>
      <c r="H1124" s="64"/>
    </row>
    <row r="1125" spans="1:8" x14ac:dyDescent="0.25">
      <c r="A1125" s="65">
        <v>44029</v>
      </c>
      <c r="B1125" s="66">
        <v>10901.7</v>
      </c>
      <c r="C1125" s="66">
        <v>10752</v>
      </c>
      <c r="D1125" s="66">
        <v>10933.45</v>
      </c>
      <c r="E1125" s="66">
        <v>10749.65</v>
      </c>
      <c r="F1125" s="67" t="s">
        <v>1593</v>
      </c>
      <c r="G1125" s="68">
        <v>1.5100000000000001E-2</v>
      </c>
      <c r="H1125" s="64"/>
    </row>
    <row r="1126" spans="1:8" x14ac:dyDescent="0.25">
      <c r="A1126" s="65">
        <v>44032</v>
      </c>
      <c r="B1126" s="66">
        <v>11022.2</v>
      </c>
      <c r="C1126" s="66">
        <v>10999.45</v>
      </c>
      <c r="D1126" s="66">
        <v>11037.9</v>
      </c>
      <c r="E1126" s="66">
        <v>10953</v>
      </c>
      <c r="F1126" s="67" t="s">
        <v>1592</v>
      </c>
      <c r="G1126" s="68">
        <v>1.11E-2</v>
      </c>
      <c r="H1126" s="64"/>
    </row>
    <row r="1127" spans="1:8" x14ac:dyDescent="0.25">
      <c r="A1127" s="65">
        <v>44033</v>
      </c>
      <c r="B1127" s="66">
        <v>11162.25</v>
      </c>
      <c r="C1127" s="66">
        <v>11126.1</v>
      </c>
      <c r="D1127" s="66">
        <v>11179.55</v>
      </c>
      <c r="E1127" s="66">
        <v>11113.25</v>
      </c>
      <c r="F1127" s="67" t="s">
        <v>1591</v>
      </c>
      <c r="G1127" s="68">
        <v>1.2699999999999999E-2</v>
      </c>
      <c r="H1127" s="64"/>
    </row>
    <row r="1128" spans="1:8" x14ac:dyDescent="0.25">
      <c r="A1128" s="65">
        <v>44034</v>
      </c>
      <c r="B1128" s="66">
        <v>11132.6</v>
      </c>
      <c r="C1128" s="66">
        <v>11231.2</v>
      </c>
      <c r="D1128" s="66">
        <v>11238.1</v>
      </c>
      <c r="E1128" s="66">
        <v>11056.55</v>
      </c>
      <c r="F1128" s="67" t="s">
        <v>1590</v>
      </c>
      <c r="G1128" s="68">
        <v>-2.7000000000000001E-3</v>
      </c>
      <c r="H1128" s="64"/>
    </row>
    <row r="1129" spans="1:8" x14ac:dyDescent="0.25">
      <c r="A1129" s="65">
        <v>44035</v>
      </c>
      <c r="B1129" s="66">
        <v>11215.45</v>
      </c>
      <c r="C1129" s="66">
        <v>11135</v>
      </c>
      <c r="D1129" s="66">
        <v>11239.8</v>
      </c>
      <c r="E1129" s="66">
        <v>11103.15</v>
      </c>
      <c r="F1129" s="67" t="s">
        <v>1589</v>
      </c>
      <c r="G1129" s="68">
        <v>7.4000000000000003E-3</v>
      </c>
      <c r="H1129" s="64"/>
    </row>
    <row r="1130" spans="1:8" x14ac:dyDescent="0.25">
      <c r="A1130" s="65">
        <v>44036</v>
      </c>
      <c r="B1130" s="66">
        <v>11194.15</v>
      </c>
      <c r="C1130" s="66">
        <v>11149.95</v>
      </c>
      <c r="D1130" s="66">
        <v>11225.4</v>
      </c>
      <c r="E1130" s="66">
        <v>11090.3</v>
      </c>
      <c r="F1130" s="67" t="s">
        <v>1588</v>
      </c>
      <c r="G1130" s="68">
        <v>-1.9E-3</v>
      </c>
      <c r="H1130" s="64"/>
    </row>
    <row r="1131" spans="1:8" x14ac:dyDescent="0.25">
      <c r="A1131" s="65">
        <v>44039</v>
      </c>
      <c r="B1131" s="66">
        <v>11131.8</v>
      </c>
      <c r="C1131" s="66">
        <v>11225</v>
      </c>
      <c r="D1131" s="66">
        <v>11225</v>
      </c>
      <c r="E1131" s="66">
        <v>11087.85</v>
      </c>
      <c r="F1131" s="67" t="s">
        <v>1587</v>
      </c>
      <c r="G1131" s="68">
        <v>-5.5999999999999999E-3</v>
      </c>
      <c r="H1131" s="64"/>
    </row>
    <row r="1132" spans="1:8" x14ac:dyDescent="0.25">
      <c r="A1132" s="65">
        <v>44040</v>
      </c>
      <c r="B1132" s="66">
        <v>11300.55</v>
      </c>
      <c r="C1132" s="66">
        <v>11154.1</v>
      </c>
      <c r="D1132" s="66">
        <v>11317.75</v>
      </c>
      <c r="E1132" s="66">
        <v>11151.4</v>
      </c>
      <c r="F1132" s="67" t="s">
        <v>1586</v>
      </c>
      <c r="G1132" s="68">
        <v>1.52E-2</v>
      </c>
      <c r="H1132" s="64"/>
    </row>
    <row r="1133" spans="1:8" x14ac:dyDescent="0.25">
      <c r="A1133" s="65">
        <v>44041</v>
      </c>
      <c r="B1133" s="66">
        <v>11202.85</v>
      </c>
      <c r="C1133" s="66">
        <v>11276.9</v>
      </c>
      <c r="D1133" s="66">
        <v>11341.4</v>
      </c>
      <c r="E1133" s="66">
        <v>11149.75</v>
      </c>
      <c r="F1133" s="67" t="s">
        <v>1585</v>
      </c>
      <c r="G1133" s="68">
        <v>-8.6E-3</v>
      </c>
      <c r="H1133" s="64"/>
    </row>
    <row r="1134" spans="1:8" x14ac:dyDescent="0.25">
      <c r="A1134" s="65">
        <v>44042</v>
      </c>
      <c r="B1134" s="66">
        <v>11102.15</v>
      </c>
      <c r="C1134" s="66">
        <v>11254.3</v>
      </c>
      <c r="D1134" s="66">
        <v>11299.95</v>
      </c>
      <c r="E1134" s="66">
        <v>11084.95</v>
      </c>
      <c r="F1134" s="67" t="s">
        <v>1584</v>
      </c>
      <c r="G1134" s="68">
        <v>-8.9999999999999993E-3</v>
      </c>
      <c r="H1134" s="64"/>
    </row>
    <row r="1135" spans="1:8" x14ac:dyDescent="0.25">
      <c r="A1135" s="65">
        <v>44043</v>
      </c>
      <c r="B1135" s="66">
        <v>11073.45</v>
      </c>
      <c r="C1135" s="66">
        <v>11139.5</v>
      </c>
      <c r="D1135" s="66">
        <v>11150.4</v>
      </c>
      <c r="E1135" s="66">
        <v>11026.65</v>
      </c>
      <c r="F1135" s="67" t="s">
        <v>1583</v>
      </c>
      <c r="G1135" s="68">
        <v>-2.5999999999999999E-3</v>
      </c>
      <c r="H1135" s="64"/>
    </row>
    <row r="1136" spans="1:8" x14ac:dyDescent="0.25">
      <c r="A1136" s="65">
        <v>44046</v>
      </c>
      <c r="B1136" s="66">
        <v>10891.6</v>
      </c>
      <c r="C1136" s="66">
        <v>11057.55</v>
      </c>
      <c r="D1136" s="66">
        <v>11058.05</v>
      </c>
      <c r="E1136" s="66">
        <v>10882.25</v>
      </c>
      <c r="F1136" s="67" t="s">
        <v>1582</v>
      </c>
      <c r="G1136" s="68">
        <v>-1.6400000000000001E-2</v>
      </c>
      <c r="H1136" s="64"/>
    </row>
    <row r="1137" spans="1:8" x14ac:dyDescent="0.25">
      <c r="A1137" s="65">
        <v>44047</v>
      </c>
      <c r="B1137" s="66">
        <v>11095.25</v>
      </c>
      <c r="C1137" s="66">
        <v>10946.65</v>
      </c>
      <c r="D1137" s="66">
        <v>11112.25</v>
      </c>
      <c r="E1137" s="66">
        <v>10908.1</v>
      </c>
      <c r="F1137" s="67" t="s">
        <v>1581</v>
      </c>
      <c r="G1137" s="68">
        <v>1.8700000000000001E-2</v>
      </c>
      <c r="H1137" s="64"/>
    </row>
    <row r="1138" spans="1:8" x14ac:dyDescent="0.25">
      <c r="A1138" s="65">
        <v>44048</v>
      </c>
      <c r="B1138" s="66">
        <v>11101.65</v>
      </c>
      <c r="C1138" s="66">
        <v>11155.75</v>
      </c>
      <c r="D1138" s="66">
        <v>11225.65</v>
      </c>
      <c r="E1138" s="66">
        <v>11064.05</v>
      </c>
      <c r="F1138" s="67" t="s">
        <v>1580</v>
      </c>
      <c r="G1138" s="68">
        <v>5.9999999999999995E-4</v>
      </c>
      <c r="H1138" s="64"/>
    </row>
    <row r="1139" spans="1:8" x14ac:dyDescent="0.25">
      <c r="A1139" s="65">
        <v>44049</v>
      </c>
      <c r="B1139" s="66">
        <v>11200.15</v>
      </c>
      <c r="C1139" s="66">
        <v>11185.7</v>
      </c>
      <c r="D1139" s="66">
        <v>11256.8</v>
      </c>
      <c r="E1139" s="66">
        <v>11127.3</v>
      </c>
      <c r="F1139" s="67" t="s">
        <v>1579</v>
      </c>
      <c r="G1139" s="68">
        <v>8.8999999999999999E-3</v>
      </c>
      <c r="H1139" s="64"/>
    </row>
    <row r="1140" spans="1:8" x14ac:dyDescent="0.25">
      <c r="A1140" s="65">
        <v>44050</v>
      </c>
      <c r="B1140" s="66">
        <v>11214.05</v>
      </c>
      <c r="C1140" s="66">
        <v>11186.65</v>
      </c>
      <c r="D1140" s="66">
        <v>11231.9</v>
      </c>
      <c r="E1140" s="66">
        <v>11142.05</v>
      </c>
      <c r="F1140" s="67" t="s">
        <v>1578</v>
      </c>
      <c r="G1140" s="68">
        <v>1.1999999999999999E-3</v>
      </c>
      <c r="H1140" s="64"/>
    </row>
    <row r="1141" spans="1:8" x14ac:dyDescent="0.25">
      <c r="A1141" s="65">
        <v>44053</v>
      </c>
      <c r="B1141" s="66">
        <v>11270.15</v>
      </c>
      <c r="C1141" s="66">
        <v>11270.25</v>
      </c>
      <c r="D1141" s="66">
        <v>11337.3</v>
      </c>
      <c r="E1141" s="66">
        <v>11238</v>
      </c>
      <c r="F1141" s="67" t="s">
        <v>1064</v>
      </c>
      <c r="G1141" s="68">
        <v>5.0000000000000001E-3</v>
      </c>
      <c r="H1141" s="64"/>
    </row>
    <row r="1142" spans="1:8" x14ac:dyDescent="0.25">
      <c r="A1142" s="65">
        <v>44054</v>
      </c>
      <c r="B1142" s="66">
        <v>11322.5</v>
      </c>
      <c r="C1142" s="66">
        <v>11322.25</v>
      </c>
      <c r="D1142" s="66">
        <v>11373.6</v>
      </c>
      <c r="E1142" s="66">
        <v>11299.15</v>
      </c>
      <c r="F1142" s="67" t="s">
        <v>1577</v>
      </c>
      <c r="G1142" s="68">
        <v>4.5999999999999999E-3</v>
      </c>
      <c r="H1142" s="64"/>
    </row>
    <row r="1143" spans="1:8" x14ac:dyDescent="0.25">
      <c r="A1143" s="65">
        <v>44055</v>
      </c>
      <c r="B1143" s="66">
        <v>11308.4</v>
      </c>
      <c r="C1143" s="66">
        <v>11289</v>
      </c>
      <c r="D1143" s="66">
        <v>11322</v>
      </c>
      <c r="E1143" s="66">
        <v>11242.65</v>
      </c>
      <c r="F1143" s="67" t="s">
        <v>1576</v>
      </c>
      <c r="G1143" s="68">
        <v>-1.1999999999999999E-3</v>
      </c>
      <c r="H1143" s="64"/>
    </row>
    <row r="1144" spans="1:8" x14ac:dyDescent="0.25">
      <c r="A1144" s="65">
        <v>44056</v>
      </c>
      <c r="B1144" s="66">
        <v>11300.45</v>
      </c>
      <c r="C1144" s="66">
        <v>11334.85</v>
      </c>
      <c r="D1144" s="66">
        <v>11359.3</v>
      </c>
      <c r="E1144" s="66">
        <v>11269.95</v>
      </c>
      <c r="F1144" s="67" t="s">
        <v>1575</v>
      </c>
      <c r="G1144" s="68">
        <v>-6.9999999999999999E-4</v>
      </c>
      <c r="H1144" s="64"/>
    </row>
    <row r="1145" spans="1:8" x14ac:dyDescent="0.25">
      <c r="A1145" s="65">
        <v>44057</v>
      </c>
      <c r="B1145" s="66">
        <v>11178.4</v>
      </c>
      <c r="C1145" s="66">
        <v>11353.3</v>
      </c>
      <c r="D1145" s="66">
        <v>11366.25</v>
      </c>
      <c r="E1145" s="66">
        <v>11111.45</v>
      </c>
      <c r="F1145" s="67" t="s">
        <v>1574</v>
      </c>
      <c r="G1145" s="68">
        <v>-1.0800000000000001E-2</v>
      </c>
      <c r="H1145" s="64"/>
    </row>
    <row r="1146" spans="1:8" x14ac:dyDescent="0.25">
      <c r="A1146" s="65">
        <v>44060</v>
      </c>
      <c r="B1146" s="66">
        <v>11247.1</v>
      </c>
      <c r="C1146" s="66">
        <v>11248.9</v>
      </c>
      <c r="D1146" s="66">
        <v>11267.1</v>
      </c>
      <c r="E1146" s="66">
        <v>11144.5</v>
      </c>
      <c r="F1146" s="67" t="s">
        <v>1573</v>
      </c>
      <c r="G1146" s="68">
        <v>6.1000000000000004E-3</v>
      </c>
      <c r="H1146" s="64"/>
    </row>
    <row r="1147" spans="1:8" x14ac:dyDescent="0.25">
      <c r="A1147" s="65">
        <v>44061</v>
      </c>
      <c r="B1147" s="66">
        <v>11385.35</v>
      </c>
      <c r="C1147" s="66">
        <v>11259.8</v>
      </c>
      <c r="D1147" s="66">
        <v>11401.7</v>
      </c>
      <c r="E1147" s="66">
        <v>11253.15</v>
      </c>
      <c r="F1147" s="67" t="s">
        <v>1572</v>
      </c>
      <c r="G1147" s="68">
        <v>1.23E-2</v>
      </c>
      <c r="H1147" s="64"/>
    </row>
    <row r="1148" spans="1:8" x14ac:dyDescent="0.25">
      <c r="A1148" s="65">
        <v>44062</v>
      </c>
      <c r="B1148" s="66">
        <v>11408.4</v>
      </c>
      <c r="C1148" s="66">
        <v>11452.15</v>
      </c>
      <c r="D1148" s="66">
        <v>11460.35</v>
      </c>
      <c r="E1148" s="66">
        <v>11394.1</v>
      </c>
      <c r="F1148" s="67" t="s">
        <v>1571</v>
      </c>
      <c r="G1148" s="68">
        <v>2E-3</v>
      </c>
      <c r="H1148" s="64"/>
    </row>
    <row r="1149" spans="1:8" x14ac:dyDescent="0.25">
      <c r="A1149" s="65">
        <v>44063</v>
      </c>
      <c r="B1149" s="66">
        <v>11312.2</v>
      </c>
      <c r="C1149" s="66">
        <v>11317.45</v>
      </c>
      <c r="D1149" s="66">
        <v>11361.45</v>
      </c>
      <c r="E1149" s="66">
        <v>11289.8</v>
      </c>
      <c r="F1149" s="67" t="s">
        <v>1570</v>
      </c>
      <c r="G1149" s="68">
        <v>-8.3999999999999995E-3</v>
      </c>
      <c r="H1149" s="64"/>
    </row>
    <row r="1150" spans="1:8" x14ac:dyDescent="0.25">
      <c r="A1150" s="65">
        <v>44064</v>
      </c>
      <c r="B1150" s="66">
        <v>11371.6</v>
      </c>
      <c r="C1150" s="66">
        <v>11409.65</v>
      </c>
      <c r="D1150" s="66">
        <v>11418.5</v>
      </c>
      <c r="E1150" s="66">
        <v>11362.2</v>
      </c>
      <c r="F1150" s="67" t="s">
        <v>1569</v>
      </c>
      <c r="G1150" s="68">
        <v>5.3E-3</v>
      </c>
      <c r="H1150" s="64"/>
    </row>
    <row r="1151" spans="1:8" x14ac:dyDescent="0.25">
      <c r="A1151" s="65">
        <v>44067</v>
      </c>
      <c r="B1151" s="66">
        <v>11466.45</v>
      </c>
      <c r="C1151" s="66">
        <v>11412</v>
      </c>
      <c r="D1151" s="66">
        <v>11497.25</v>
      </c>
      <c r="E1151" s="66">
        <v>11410.65</v>
      </c>
      <c r="F1151" s="67" t="s">
        <v>1568</v>
      </c>
      <c r="G1151" s="68">
        <v>8.3000000000000001E-3</v>
      </c>
      <c r="H1151" s="64"/>
    </row>
    <row r="1152" spans="1:8" x14ac:dyDescent="0.25">
      <c r="A1152" s="65">
        <v>44068</v>
      </c>
      <c r="B1152" s="66">
        <v>11472.25</v>
      </c>
      <c r="C1152" s="66">
        <v>11513.1</v>
      </c>
      <c r="D1152" s="66">
        <v>11525.9</v>
      </c>
      <c r="E1152" s="66">
        <v>11423.35</v>
      </c>
      <c r="F1152" s="67" t="s">
        <v>1567</v>
      </c>
      <c r="G1152" s="68">
        <v>5.0000000000000001E-4</v>
      </c>
      <c r="H1152" s="64"/>
    </row>
    <row r="1153" spans="1:8" x14ac:dyDescent="0.25">
      <c r="A1153" s="65">
        <v>44069</v>
      </c>
      <c r="B1153" s="66">
        <v>11549.6</v>
      </c>
      <c r="C1153" s="66">
        <v>11512.85</v>
      </c>
      <c r="D1153" s="66">
        <v>11561.75</v>
      </c>
      <c r="E1153" s="66">
        <v>11461.85</v>
      </c>
      <c r="F1153" s="67" t="s">
        <v>1566</v>
      </c>
      <c r="G1153" s="68">
        <v>6.7000000000000002E-3</v>
      </c>
      <c r="H1153" s="64"/>
    </row>
    <row r="1154" spans="1:8" x14ac:dyDescent="0.25">
      <c r="A1154" s="65">
        <v>44070</v>
      </c>
      <c r="B1154" s="66">
        <v>11559.25</v>
      </c>
      <c r="C1154" s="66">
        <v>11609.3</v>
      </c>
      <c r="D1154" s="66">
        <v>11617.35</v>
      </c>
      <c r="E1154" s="66">
        <v>11540.6</v>
      </c>
      <c r="F1154" s="67" t="s">
        <v>1565</v>
      </c>
      <c r="G1154" s="68">
        <v>8.0000000000000004E-4</v>
      </c>
      <c r="H1154" s="64"/>
    </row>
    <row r="1155" spans="1:8" x14ac:dyDescent="0.25">
      <c r="A1155" s="65">
        <v>44071</v>
      </c>
      <c r="B1155" s="66">
        <v>11647.6</v>
      </c>
      <c r="C1155" s="66">
        <v>11602.95</v>
      </c>
      <c r="D1155" s="66">
        <v>11686.05</v>
      </c>
      <c r="E1155" s="66">
        <v>11589.4</v>
      </c>
      <c r="F1155" s="67" t="s">
        <v>1564</v>
      </c>
      <c r="G1155" s="68">
        <v>7.6E-3</v>
      </c>
      <c r="H1155" s="64"/>
    </row>
    <row r="1156" spans="1:8" x14ac:dyDescent="0.25">
      <c r="A1156" s="65">
        <v>44074</v>
      </c>
      <c r="B1156" s="66">
        <v>11387.5</v>
      </c>
      <c r="C1156" s="66">
        <v>11777.55</v>
      </c>
      <c r="D1156" s="66">
        <v>11794.25</v>
      </c>
      <c r="E1156" s="66">
        <v>11325.85</v>
      </c>
      <c r="F1156" s="67" t="s">
        <v>1563</v>
      </c>
      <c r="G1156" s="68">
        <v>-2.23E-2</v>
      </c>
      <c r="H1156" s="64"/>
    </row>
    <row r="1157" spans="1:8" x14ac:dyDescent="0.25">
      <c r="A1157" s="65">
        <v>44075</v>
      </c>
      <c r="B1157" s="66">
        <v>11470.25</v>
      </c>
      <c r="C1157" s="66">
        <v>11464.3</v>
      </c>
      <c r="D1157" s="66">
        <v>11553.55</v>
      </c>
      <c r="E1157" s="66">
        <v>11366.9</v>
      </c>
      <c r="F1157" s="67" t="s">
        <v>1562</v>
      </c>
      <c r="G1157" s="68">
        <v>7.3000000000000001E-3</v>
      </c>
      <c r="H1157" s="64"/>
    </row>
    <row r="1158" spans="1:8" x14ac:dyDescent="0.25">
      <c r="A1158" s="65">
        <v>44076</v>
      </c>
      <c r="B1158" s="66">
        <v>11535</v>
      </c>
      <c r="C1158" s="66">
        <v>11478.55</v>
      </c>
      <c r="D1158" s="66">
        <v>11554.75</v>
      </c>
      <c r="E1158" s="66">
        <v>11430.4</v>
      </c>
      <c r="F1158" s="67" t="s">
        <v>1561</v>
      </c>
      <c r="G1158" s="68">
        <v>5.5999999999999999E-3</v>
      </c>
      <c r="H1158" s="64"/>
    </row>
    <row r="1159" spans="1:8" x14ac:dyDescent="0.25">
      <c r="A1159" s="65">
        <v>44077</v>
      </c>
      <c r="B1159" s="66">
        <v>11527.45</v>
      </c>
      <c r="C1159" s="66">
        <v>11566.2</v>
      </c>
      <c r="D1159" s="66">
        <v>11584.95</v>
      </c>
      <c r="E1159" s="66">
        <v>11507.65</v>
      </c>
      <c r="F1159" s="67" t="s">
        <v>1560</v>
      </c>
      <c r="G1159" s="68">
        <v>-6.9999999999999999E-4</v>
      </c>
      <c r="H1159" s="64"/>
    </row>
    <row r="1160" spans="1:8" x14ac:dyDescent="0.25">
      <c r="A1160" s="65">
        <v>44078</v>
      </c>
      <c r="B1160" s="66">
        <v>11333.85</v>
      </c>
      <c r="C1160" s="66">
        <v>11354.4</v>
      </c>
      <c r="D1160" s="66">
        <v>11452.05</v>
      </c>
      <c r="E1160" s="66">
        <v>11303.65</v>
      </c>
      <c r="F1160" s="67" t="s">
        <v>1559</v>
      </c>
      <c r="G1160" s="68">
        <v>-1.6799999999999999E-2</v>
      </c>
      <c r="H1160" s="64"/>
    </row>
    <row r="1161" spans="1:8" x14ac:dyDescent="0.25">
      <c r="A1161" s="65">
        <v>44081</v>
      </c>
      <c r="B1161" s="66">
        <v>11355.05</v>
      </c>
      <c r="C1161" s="66">
        <v>11359.6</v>
      </c>
      <c r="D1161" s="66">
        <v>11381.15</v>
      </c>
      <c r="E1161" s="66">
        <v>11251.7</v>
      </c>
      <c r="F1161" s="67" t="s">
        <v>1558</v>
      </c>
      <c r="G1161" s="68">
        <v>1.9E-3</v>
      </c>
      <c r="H1161" s="64"/>
    </row>
    <row r="1162" spans="1:8" x14ac:dyDescent="0.25">
      <c r="A1162" s="65">
        <v>44082</v>
      </c>
      <c r="B1162" s="66">
        <v>11317.35</v>
      </c>
      <c r="C1162" s="66">
        <v>11378.55</v>
      </c>
      <c r="D1162" s="66">
        <v>11437.25</v>
      </c>
      <c r="E1162" s="66">
        <v>11290.45</v>
      </c>
      <c r="F1162" s="67" t="s">
        <v>1557</v>
      </c>
      <c r="G1162" s="68">
        <v>-3.3E-3</v>
      </c>
      <c r="H1162" s="64"/>
    </row>
    <row r="1163" spans="1:8" x14ac:dyDescent="0.25">
      <c r="A1163" s="65">
        <v>44083</v>
      </c>
      <c r="B1163" s="66">
        <v>11278</v>
      </c>
      <c r="C1163" s="66">
        <v>11218.6</v>
      </c>
      <c r="D1163" s="66">
        <v>11298.15</v>
      </c>
      <c r="E1163" s="66">
        <v>11185.15</v>
      </c>
      <c r="F1163" s="67" t="s">
        <v>1556</v>
      </c>
      <c r="G1163" s="68">
        <v>-3.5000000000000001E-3</v>
      </c>
      <c r="H1163" s="64"/>
    </row>
    <row r="1164" spans="1:8" x14ac:dyDescent="0.25">
      <c r="A1164" s="65">
        <v>44084</v>
      </c>
      <c r="B1164" s="66">
        <v>11449.25</v>
      </c>
      <c r="C1164" s="66">
        <v>11363.3</v>
      </c>
      <c r="D1164" s="66">
        <v>11464.05</v>
      </c>
      <c r="E1164" s="66">
        <v>11327.4</v>
      </c>
      <c r="F1164" s="67" t="s">
        <v>1555</v>
      </c>
      <c r="G1164" s="68">
        <v>1.52E-2</v>
      </c>
      <c r="H1164" s="64"/>
    </row>
    <row r="1165" spans="1:8" x14ac:dyDescent="0.25">
      <c r="A1165" s="65">
        <v>44085</v>
      </c>
      <c r="B1165" s="66">
        <v>11464.45</v>
      </c>
      <c r="C1165" s="66">
        <v>11447.8</v>
      </c>
      <c r="D1165" s="66">
        <v>11493.5</v>
      </c>
      <c r="E1165" s="66">
        <v>11419.9</v>
      </c>
      <c r="F1165" s="67" t="s">
        <v>1554</v>
      </c>
      <c r="G1165" s="68">
        <v>1.2999999999999999E-3</v>
      </c>
      <c r="H1165" s="64"/>
    </row>
    <row r="1166" spans="1:8" x14ac:dyDescent="0.25">
      <c r="A1166" s="65">
        <v>44088</v>
      </c>
      <c r="B1166" s="66">
        <v>11440.05</v>
      </c>
      <c r="C1166" s="66">
        <v>11540.15</v>
      </c>
      <c r="D1166" s="66">
        <v>11568.9</v>
      </c>
      <c r="E1166" s="66">
        <v>11383.55</v>
      </c>
      <c r="F1166" s="67" t="s">
        <v>1553</v>
      </c>
      <c r="G1166" s="68">
        <v>-2.0999999999999999E-3</v>
      </c>
      <c r="H1166" s="64"/>
    </row>
    <row r="1167" spans="1:8" x14ac:dyDescent="0.25">
      <c r="A1167" s="65">
        <v>44089</v>
      </c>
      <c r="B1167" s="66">
        <v>11521.8</v>
      </c>
      <c r="C1167" s="66">
        <v>11487.2</v>
      </c>
      <c r="D1167" s="66">
        <v>11535.95</v>
      </c>
      <c r="E1167" s="66">
        <v>11442.25</v>
      </c>
      <c r="F1167" s="67" t="s">
        <v>1552</v>
      </c>
      <c r="G1167" s="68">
        <v>7.1000000000000004E-3</v>
      </c>
      <c r="H1167" s="64"/>
    </row>
    <row r="1168" spans="1:8" x14ac:dyDescent="0.25">
      <c r="A1168" s="65">
        <v>44090</v>
      </c>
      <c r="B1168" s="66">
        <v>11604.55</v>
      </c>
      <c r="C1168" s="66">
        <v>11538.45</v>
      </c>
      <c r="D1168" s="66">
        <v>11618.1</v>
      </c>
      <c r="E1168" s="66">
        <v>11516.75</v>
      </c>
      <c r="F1168" s="67" t="s">
        <v>1551</v>
      </c>
      <c r="G1168" s="68">
        <v>7.1999999999999998E-3</v>
      </c>
      <c r="H1168" s="64"/>
    </row>
    <row r="1169" spans="1:8" x14ac:dyDescent="0.25">
      <c r="A1169" s="65">
        <v>44091</v>
      </c>
      <c r="B1169" s="66">
        <v>11516.1</v>
      </c>
      <c r="C1169" s="66">
        <v>11539.4</v>
      </c>
      <c r="D1169" s="66">
        <v>11587.2</v>
      </c>
      <c r="E1169" s="66">
        <v>11498.5</v>
      </c>
      <c r="F1169" s="67" t="s">
        <v>1550</v>
      </c>
      <c r="G1169" s="68">
        <v>-7.6E-3</v>
      </c>
      <c r="H1169" s="64"/>
    </row>
    <row r="1170" spans="1:8" x14ac:dyDescent="0.25">
      <c r="A1170" s="65">
        <v>44092</v>
      </c>
      <c r="B1170" s="66">
        <v>11504.95</v>
      </c>
      <c r="C1170" s="66">
        <v>11584.1</v>
      </c>
      <c r="D1170" s="66">
        <v>11584.1</v>
      </c>
      <c r="E1170" s="66">
        <v>11446.1</v>
      </c>
      <c r="F1170" s="67" t="s">
        <v>1549</v>
      </c>
      <c r="G1170" s="68">
        <v>-1E-3</v>
      </c>
      <c r="H1170" s="64"/>
    </row>
    <row r="1171" spans="1:8" x14ac:dyDescent="0.25">
      <c r="A1171" s="65">
        <v>44095</v>
      </c>
      <c r="B1171" s="66">
        <v>11250.55</v>
      </c>
      <c r="C1171" s="66">
        <v>11503.8</v>
      </c>
      <c r="D1171" s="66">
        <v>11535.25</v>
      </c>
      <c r="E1171" s="66">
        <v>11218.5</v>
      </c>
      <c r="F1171" s="67" t="s">
        <v>1548</v>
      </c>
      <c r="G1171" s="68">
        <v>-2.2100000000000002E-2</v>
      </c>
      <c r="H1171" s="64"/>
    </row>
    <row r="1172" spans="1:8" x14ac:dyDescent="0.25">
      <c r="A1172" s="65">
        <v>44096</v>
      </c>
      <c r="B1172" s="66">
        <v>11153.65</v>
      </c>
      <c r="C1172" s="66">
        <v>11301.75</v>
      </c>
      <c r="D1172" s="66">
        <v>11302.2</v>
      </c>
      <c r="E1172" s="66">
        <v>11084.65</v>
      </c>
      <c r="F1172" s="67" t="s">
        <v>1547</v>
      </c>
      <c r="G1172" s="68">
        <v>-8.6E-3</v>
      </c>
      <c r="H1172" s="64"/>
    </row>
    <row r="1173" spans="1:8" x14ac:dyDescent="0.25">
      <c r="A1173" s="65">
        <v>44097</v>
      </c>
      <c r="B1173" s="66">
        <v>11131.85</v>
      </c>
      <c r="C1173" s="66">
        <v>11258.75</v>
      </c>
      <c r="D1173" s="66">
        <v>11259.55</v>
      </c>
      <c r="E1173" s="66">
        <v>11024.4</v>
      </c>
      <c r="F1173" s="67" t="s">
        <v>1546</v>
      </c>
      <c r="G1173" s="68">
        <v>-2E-3</v>
      </c>
      <c r="H1173" s="64"/>
    </row>
    <row r="1174" spans="1:8" x14ac:dyDescent="0.25">
      <c r="A1174" s="65">
        <v>44098</v>
      </c>
      <c r="B1174" s="66">
        <v>10805.55</v>
      </c>
      <c r="C1174" s="66">
        <v>11011</v>
      </c>
      <c r="D1174" s="66">
        <v>11015.3</v>
      </c>
      <c r="E1174" s="66">
        <v>10790.2</v>
      </c>
      <c r="F1174" s="67" t="s">
        <v>1545</v>
      </c>
      <c r="G1174" s="68">
        <v>-2.93E-2</v>
      </c>
      <c r="H1174" s="64"/>
    </row>
    <row r="1175" spans="1:8" x14ac:dyDescent="0.25">
      <c r="A1175" s="65">
        <v>44099</v>
      </c>
      <c r="B1175" s="66">
        <v>11050.25</v>
      </c>
      <c r="C1175" s="66">
        <v>10910.4</v>
      </c>
      <c r="D1175" s="66">
        <v>11072.6</v>
      </c>
      <c r="E1175" s="66">
        <v>10854.85</v>
      </c>
      <c r="F1175" s="67" t="s">
        <v>1544</v>
      </c>
      <c r="G1175" s="68">
        <v>2.2599999999999999E-2</v>
      </c>
      <c r="H1175" s="64"/>
    </row>
    <row r="1176" spans="1:8" x14ac:dyDescent="0.25">
      <c r="A1176" s="65">
        <v>44102</v>
      </c>
      <c r="B1176" s="66">
        <v>11227.55</v>
      </c>
      <c r="C1176" s="66">
        <v>11140.85</v>
      </c>
      <c r="D1176" s="66">
        <v>11239.35</v>
      </c>
      <c r="E1176" s="66">
        <v>11099.85</v>
      </c>
      <c r="F1176" s="67" t="s">
        <v>1543</v>
      </c>
      <c r="G1176" s="68">
        <v>1.6E-2</v>
      </c>
      <c r="H1176" s="64"/>
    </row>
    <row r="1177" spans="1:8" x14ac:dyDescent="0.25">
      <c r="A1177" s="65">
        <v>44103</v>
      </c>
      <c r="B1177" s="66">
        <v>11222.4</v>
      </c>
      <c r="C1177" s="66">
        <v>11288.6</v>
      </c>
      <c r="D1177" s="66">
        <v>11305.4</v>
      </c>
      <c r="E1177" s="66">
        <v>11181</v>
      </c>
      <c r="F1177" s="67" t="s">
        <v>1542</v>
      </c>
      <c r="G1177" s="68">
        <v>-5.0000000000000001E-4</v>
      </c>
      <c r="H1177" s="64"/>
    </row>
    <row r="1178" spans="1:8" x14ac:dyDescent="0.25">
      <c r="A1178" s="65">
        <v>44104</v>
      </c>
      <c r="B1178" s="66">
        <v>11247.55</v>
      </c>
      <c r="C1178" s="66">
        <v>11244.45</v>
      </c>
      <c r="D1178" s="66">
        <v>11295.4</v>
      </c>
      <c r="E1178" s="66">
        <v>11184.55</v>
      </c>
      <c r="F1178" s="67" t="s">
        <v>1541</v>
      </c>
      <c r="G1178" s="68">
        <v>2.2000000000000001E-3</v>
      </c>
      <c r="H1178" s="64"/>
    </row>
    <row r="1179" spans="1:8" x14ac:dyDescent="0.25">
      <c r="A1179" s="65">
        <v>44105</v>
      </c>
      <c r="B1179" s="66">
        <v>11416.95</v>
      </c>
      <c r="C1179" s="66">
        <v>11364.45</v>
      </c>
      <c r="D1179" s="66">
        <v>11428.6</v>
      </c>
      <c r="E1179" s="66">
        <v>11347.05</v>
      </c>
      <c r="F1179" s="67" t="s">
        <v>1540</v>
      </c>
      <c r="G1179" s="68">
        <v>1.5100000000000001E-2</v>
      </c>
      <c r="H1179" s="64"/>
    </row>
    <row r="1180" spans="1:8" x14ac:dyDescent="0.25">
      <c r="A1180" s="65">
        <v>44109</v>
      </c>
      <c r="B1180" s="66">
        <v>11503.35</v>
      </c>
      <c r="C1180" s="66">
        <v>11487.8</v>
      </c>
      <c r="D1180" s="66">
        <v>11578.05</v>
      </c>
      <c r="E1180" s="66">
        <v>11452.3</v>
      </c>
      <c r="F1180" s="67" t="s">
        <v>1539</v>
      </c>
      <c r="G1180" s="68">
        <v>7.6E-3</v>
      </c>
      <c r="H1180" s="64"/>
    </row>
    <row r="1181" spans="1:8" x14ac:dyDescent="0.25">
      <c r="A1181" s="65">
        <v>44110</v>
      </c>
      <c r="B1181" s="66">
        <v>11662.4</v>
      </c>
      <c r="C1181" s="66">
        <v>11603.45</v>
      </c>
      <c r="D1181" s="66">
        <v>11680.3</v>
      </c>
      <c r="E1181" s="66">
        <v>11564.3</v>
      </c>
      <c r="F1181" s="67" t="s">
        <v>1538</v>
      </c>
      <c r="G1181" s="68">
        <v>1.38E-2</v>
      </c>
      <c r="H1181" s="64"/>
    </row>
    <row r="1182" spans="1:8" x14ac:dyDescent="0.25">
      <c r="A1182" s="65">
        <v>44111</v>
      </c>
      <c r="B1182" s="66">
        <v>11738.85</v>
      </c>
      <c r="C1182" s="66">
        <v>11679.25</v>
      </c>
      <c r="D1182" s="66">
        <v>11763.05</v>
      </c>
      <c r="E1182" s="66">
        <v>11629.35</v>
      </c>
      <c r="F1182" s="67" t="s">
        <v>1537</v>
      </c>
      <c r="G1182" s="68">
        <v>6.6E-3</v>
      </c>
      <c r="H1182" s="64"/>
    </row>
    <row r="1183" spans="1:8" x14ac:dyDescent="0.25">
      <c r="A1183" s="65">
        <v>44112</v>
      </c>
      <c r="B1183" s="66">
        <v>11834.6</v>
      </c>
      <c r="C1183" s="66">
        <v>11835.4</v>
      </c>
      <c r="D1183" s="66">
        <v>11905.7</v>
      </c>
      <c r="E1183" s="66">
        <v>11791.15</v>
      </c>
      <c r="F1183" s="67" t="s">
        <v>1536</v>
      </c>
      <c r="G1183" s="68">
        <v>8.2000000000000007E-3</v>
      </c>
      <c r="H1183" s="64"/>
    </row>
    <row r="1184" spans="1:8" x14ac:dyDescent="0.25">
      <c r="A1184" s="65">
        <v>44113</v>
      </c>
      <c r="B1184" s="66">
        <v>11914.2</v>
      </c>
      <c r="C1184" s="66">
        <v>11852.05</v>
      </c>
      <c r="D1184" s="66">
        <v>11938.6</v>
      </c>
      <c r="E1184" s="66">
        <v>11805.2</v>
      </c>
      <c r="F1184" s="67" t="s">
        <v>1535</v>
      </c>
      <c r="G1184" s="68">
        <v>6.7000000000000002E-3</v>
      </c>
      <c r="H1184" s="64"/>
    </row>
    <row r="1185" spans="1:8" x14ac:dyDescent="0.25">
      <c r="A1185" s="65">
        <v>44116</v>
      </c>
      <c r="B1185" s="66">
        <v>11930.95</v>
      </c>
      <c r="C1185" s="66">
        <v>11973.55</v>
      </c>
      <c r="D1185" s="66">
        <v>12022.05</v>
      </c>
      <c r="E1185" s="66">
        <v>11867.2</v>
      </c>
      <c r="F1185" s="67" t="s">
        <v>1534</v>
      </c>
      <c r="G1185" s="68">
        <v>1.4E-3</v>
      </c>
      <c r="H1185" s="64"/>
    </row>
    <row r="1186" spans="1:8" x14ac:dyDescent="0.25">
      <c r="A1186" s="65">
        <v>44117</v>
      </c>
      <c r="B1186" s="66">
        <v>11934.5</v>
      </c>
      <c r="C1186" s="66">
        <v>11934.65</v>
      </c>
      <c r="D1186" s="66">
        <v>11988.2</v>
      </c>
      <c r="E1186" s="66">
        <v>11888.9</v>
      </c>
      <c r="F1186" s="67" t="s">
        <v>1533</v>
      </c>
      <c r="G1186" s="68">
        <v>2.9999999999999997E-4</v>
      </c>
      <c r="H1186" s="64"/>
    </row>
    <row r="1187" spans="1:8" x14ac:dyDescent="0.25">
      <c r="A1187" s="65">
        <v>44118</v>
      </c>
      <c r="B1187" s="66">
        <v>11971.05</v>
      </c>
      <c r="C1187" s="66">
        <v>11917.4</v>
      </c>
      <c r="D1187" s="66">
        <v>11997.2</v>
      </c>
      <c r="E1187" s="66">
        <v>11822.15</v>
      </c>
      <c r="F1187" s="67" t="s">
        <v>1532</v>
      </c>
      <c r="G1187" s="68">
        <v>3.0999999999999999E-3</v>
      </c>
      <c r="H1187" s="64"/>
    </row>
    <row r="1188" spans="1:8" x14ac:dyDescent="0.25">
      <c r="A1188" s="65">
        <v>44119</v>
      </c>
      <c r="B1188" s="66">
        <v>11680.35</v>
      </c>
      <c r="C1188" s="66">
        <v>12023.45</v>
      </c>
      <c r="D1188" s="66">
        <v>12025.45</v>
      </c>
      <c r="E1188" s="66">
        <v>11661.3</v>
      </c>
      <c r="F1188" s="67" t="s">
        <v>1531</v>
      </c>
      <c r="G1188" s="68">
        <v>-2.4299999999999999E-2</v>
      </c>
      <c r="H1188" s="64"/>
    </row>
    <row r="1189" spans="1:8" x14ac:dyDescent="0.25">
      <c r="A1189" s="65">
        <v>44120</v>
      </c>
      <c r="B1189" s="66">
        <v>11762.45</v>
      </c>
      <c r="C1189" s="66">
        <v>11727.4</v>
      </c>
      <c r="D1189" s="66">
        <v>11789.75</v>
      </c>
      <c r="E1189" s="66">
        <v>11667.85</v>
      </c>
      <c r="F1189" s="67" t="s">
        <v>1530</v>
      </c>
      <c r="G1189" s="68">
        <v>7.0000000000000001E-3</v>
      </c>
      <c r="H1189" s="64"/>
    </row>
    <row r="1190" spans="1:8" x14ac:dyDescent="0.25">
      <c r="A1190" s="65">
        <v>44123</v>
      </c>
      <c r="B1190" s="66">
        <v>11873.05</v>
      </c>
      <c r="C1190" s="66">
        <v>11879.2</v>
      </c>
      <c r="D1190" s="66">
        <v>11898.25</v>
      </c>
      <c r="E1190" s="66">
        <v>11820.4</v>
      </c>
      <c r="F1190" s="67" t="s">
        <v>1529</v>
      </c>
      <c r="G1190" s="68">
        <v>9.4000000000000004E-3</v>
      </c>
      <c r="H1190" s="64"/>
    </row>
    <row r="1191" spans="1:8" x14ac:dyDescent="0.25">
      <c r="A1191" s="65">
        <v>44124</v>
      </c>
      <c r="B1191" s="66">
        <v>11896.8</v>
      </c>
      <c r="C1191" s="66">
        <v>11861</v>
      </c>
      <c r="D1191" s="66">
        <v>11949.25</v>
      </c>
      <c r="E1191" s="66">
        <v>11837.25</v>
      </c>
      <c r="F1191" s="67" t="s">
        <v>1528</v>
      </c>
      <c r="G1191" s="68">
        <v>2E-3</v>
      </c>
      <c r="H1191" s="64"/>
    </row>
    <row r="1192" spans="1:8" x14ac:dyDescent="0.25">
      <c r="A1192" s="65">
        <v>44125</v>
      </c>
      <c r="B1192" s="66">
        <v>11937.65</v>
      </c>
      <c r="C1192" s="66">
        <v>11958.55</v>
      </c>
      <c r="D1192" s="66">
        <v>12018.65</v>
      </c>
      <c r="E1192" s="66">
        <v>11775.75</v>
      </c>
      <c r="F1192" s="67" t="s">
        <v>1527</v>
      </c>
      <c r="G1192" s="68">
        <v>3.3999999999999998E-3</v>
      </c>
      <c r="H1192" s="64"/>
    </row>
    <row r="1193" spans="1:8" x14ac:dyDescent="0.25">
      <c r="A1193" s="65">
        <v>44126</v>
      </c>
      <c r="B1193" s="66">
        <v>11896.45</v>
      </c>
      <c r="C1193" s="66">
        <v>11890</v>
      </c>
      <c r="D1193" s="66">
        <v>11939.55</v>
      </c>
      <c r="E1193" s="66">
        <v>11823.45</v>
      </c>
      <c r="F1193" s="67" t="s">
        <v>1526</v>
      </c>
      <c r="G1193" s="68">
        <v>-3.5000000000000001E-3</v>
      </c>
      <c r="H1193" s="64"/>
    </row>
    <row r="1194" spans="1:8" x14ac:dyDescent="0.25">
      <c r="A1194" s="65">
        <v>44127</v>
      </c>
      <c r="B1194" s="66">
        <v>11930.35</v>
      </c>
      <c r="C1194" s="66">
        <v>11957.9</v>
      </c>
      <c r="D1194" s="66">
        <v>11974.55</v>
      </c>
      <c r="E1194" s="66">
        <v>11908.75</v>
      </c>
      <c r="F1194" s="67" t="s">
        <v>1525</v>
      </c>
      <c r="G1194" s="68">
        <v>2.8E-3</v>
      </c>
      <c r="H1194" s="64"/>
    </row>
    <row r="1195" spans="1:8" x14ac:dyDescent="0.25">
      <c r="A1195" s="65">
        <v>44130</v>
      </c>
      <c r="B1195" s="66">
        <v>11767.75</v>
      </c>
      <c r="C1195" s="66">
        <v>11937.4</v>
      </c>
      <c r="D1195" s="66">
        <v>11942.85</v>
      </c>
      <c r="E1195" s="66">
        <v>11711.7</v>
      </c>
      <c r="F1195" s="67" t="s">
        <v>1524</v>
      </c>
      <c r="G1195" s="68">
        <v>-1.3599999999999999E-2</v>
      </c>
      <c r="H1195" s="64"/>
    </row>
    <row r="1196" spans="1:8" x14ac:dyDescent="0.25">
      <c r="A1196" s="65">
        <v>44131</v>
      </c>
      <c r="B1196" s="66">
        <v>11889.4</v>
      </c>
      <c r="C1196" s="66">
        <v>11807.1</v>
      </c>
      <c r="D1196" s="66">
        <v>11899.05</v>
      </c>
      <c r="E1196" s="66">
        <v>11723</v>
      </c>
      <c r="F1196" s="67" t="s">
        <v>1523</v>
      </c>
      <c r="G1196" s="68">
        <v>1.03E-2</v>
      </c>
      <c r="H1196" s="64"/>
    </row>
    <row r="1197" spans="1:8" x14ac:dyDescent="0.25">
      <c r="A1197" s="65">
        <v>44132</v>
      </c>
      <c r="B1197" s="66">
        <v>11729.6</v>
      </c>
      <c r="C1197" s="66">
        <v>11922.6</v>
      </c>
      <c r="D1197" s="66">
        <v>11929.4</v>
      </c>
      <c r="E1197" s="66">
        <v>11684.85</v>
      </c>
      <c r="F1197" s="67" t="s">
        <v>1522</v>
      </c>
      <c r="G1197" s="68">
        <v>-1.34E-2</v>
      </c>
      <c r="H1197" s="64"/>
    </row>
    <row r="1198" spans="1:8" x14ac:dyDescent="0.25">
      <c r="A1198" s="65">
        <v>44133</v>
      </c>
      <c r="B1198" s="66">
        <v>11670.8</v>
      </c>
      <c r="C1198" s="66">
        <v>11633.3</v>
      </c>
      <c r="D1198" s="66">
        <v>11744.15</v>
      </c>
      <c r="E1198" s="66">
        <v>11606.45</v>
      </c>
      <c r="F1198" s="67" t="s">
        <v>1521</v>
      </c>
      <c r="G1198" s="68">
        <v>-5.0000000000000001E-3</v>
      </c>
      <c r="H1198" s="64"/>
    </row>
    <row r="1199" spans="1:8" x14ac:dyDescent="0.25">
      <c r="A1199" s="65">
        <v>44134</v>
      </c>
      <c r="B1199" s="66">
        <v>11642.4</v>
      </c>
      <c r="C1199" s="66">
        <v>11678.45</v>
      </c>
      <c r="D1199" s="66">
        <v>11748.95</v>
      </c>
      <c r="E1199" s="66">
        <v>11535.45</v>
      </c>
      <c r="F1199" s="67" t="s">
        <v>1520</v>
      </c>
      <c r="G1199" s="68">
        <v>-2.3999999999999998E-3</v>
      </c>
      <c r="H1199" s="64"/>
    </row>
    <row r="1200" spans="1:8" x14ac:dyDescent="0.25">
      <c r="A1200" s="65">
        <v>44137</v>
      </c>
      <c r="B1200" s="66">
        <v>11669.15</v>
      </c>
      <c r="C1200" s="66">
        <v>11697.35</v>
      </c>
      <c r="D1200" s="66">
        <v>11725.65</v>
      </c>
      <c r="E1200" s="66">
        <v>11557.4</v>
      </c>
      <c r="F1200" s="67" t="s">
        <v>1519</v>
      </c>
      <c r="G1200" s="68">
        <v>2.3E-3</v>
      </c>
      <c r="H1200" s="64"/>
    </row>
    <row r="1201" spans="1:8" x14ac:dyDescent="0.25">
      <c r="A1201" s="65">
        <v>44138</v>
      </c>
      <c r="B1201" s="66">
        <v>11813.5</v>
      </c>
      <c r="C1201" s="66">
        <v>11734.45</v>
      </c>
      <c r="D1201" s="66">
        <v>11836.2</v>
      </c>
      <c r="E1201" s="66">
        <v>11723.3</v>
      </c>
      <c r="F1201" s="67" t="s">
        <v>1518</v>
      </c>
      <c r="G1201" s="68">
        <v>1.24E-2</v>
      </c>
      <c r="H1201" s="64"/>
    </row>
    <row r="1202" spans="1:8" x14ac:dyDescent="0.25">
      <c r="A1202" s="65">
        <v>44139</v>
      </c>
      <c r="B1202" s="66">
        <v>11908.5</v>
      </c>
      <c r="C1202" s="66">
        <v>11783.35</v>
      </c>
      <c r="D1202" s="66">
        <v>11929.65</v>
      </c>
      <c r="E1202" s="66">
        <v>11756.4</v>
      </c>
      <c r="F1202" s="67" t="s">
        <v>1517</v>
      </c>
      <c r="G1202" s="68">
        <v>8.0000000000000002E-3</v>
      </c>
      <c r="H1202" s="64"/>
    </row>
    <row r="1203" spans="1:8" x14ac:dyDescent="0.25">
      <c r="A1203" s="65">
        <v>44140</v>
      </c>
      <c r="B1203" s="66">
        <v>12120.3</v>
      </c>
      <c r="C1203" s="66">
        <v>12062.4</v>
      </c>
      <c r="D1203" s="66">
        <v>12131.1</v>
      </c>
      <c r="E1203" s="66">
        <v>12027.6</v>
      </c>
      <c r="F1203" s="67" t="s">
        <v>1516</v>
      </c>
      <c r="G1203" s="68">
        <v>1.78E-2</v>
      </c>
      <c r="H1203" s="64"/>
    </row>
    <row r="1204" spans="1:8" x14ac:dyDescent="0.25">
      <c r="A1204" s="65">
        <v>44141</v>
      </c>
      <c r="B1204" s="66">
        <v>12263.55</v>
      </c>
      <c r="C1204" s="66">
        <v>12156.65</v>
      </c>
      <c r="D1204" s="66">
        <v>12280.4</v>
      </c>
      <c r="E1204" s="66">
        <v>12131.85</v>
      </c>
      <c r="F1204" s="67" t="s">
        <v>1515</v>
      </c>
      <c r="G1204" s="68">
        <v>1.18E-2</v>
      </c>
      <c r="H1204" s="64"/>
    </row>
    <row r="1205" spans="1:8" x14ac:dyDescent="0.25">
      <c r="A1205" s="65">
        <v>44144</v>
      </c>
      <c r="B1205" s="66">
        <v>12461.05</v>
      </c>
      <c r="C1205" s="66">
        <v>12399.4</v>
      </c>
      <c r="D1205" s="66">
        <v>12474.05</v>
      </c>
      <c r="E1205" s="66">
        <v>12367.35</v>
      </c>
      <c r="F1205" s="67" t="s">
        <v>1514</v>
      </c>
      <c r="G1205" s="68">
        <v>1.61E-2</v>
      </c>
      <c r="H1205" s="64"/>
    </row>
    <row r="1206" spans="1:8" x14ac:dyDescent="0.25">
      <c r="A1206" s="65">
        <v>44145</v>
      </c>
      <c r="B1206" s="66">
        <v>12631.1</v>
      </c>
      <c r="C1206" s="66">
        <v>12556.4</v>
      </c>
      <c r="D1206" s="66">
        <v>12643.9</v>
      </c>
      <c r="E1206" s="66">
        <v>12475.25</v>
      </c>
      <c r="F1206" s="67" t="s">
        <v>1513</v>
      </c>
      <c r="G1206" s="68">
        <v>1.3599999999999999E-2</v>
      </c>
      <c r="H1206" s="64"/>
    </row>
    <row r="1207" spans="1:8" x14ac:dyDescent="0.25">
      <c r="A1207" s="65">
        <v>44146</v>
      </c>
      <c r="B1207" s="66">
        <v>12749.15</v>
      </c>
      <c r="C1207" s="66">
        <v>12680.6</v>
      </c>
      <c r="D1207" s="66">
        <v>12769.75</v>
      </c>
      <c r="E1207" s="66">
        <v>12571.1</v>
      </c>
      <c r="F1207" s="67" t="s">
        <v>1512</v>
      </c>
      <c r="G1207" s="68">
        <v>9.2999999999999992E-3</v>
      </c>
      <c r="H1207" s="64"/>
    </row>
    <row r="1208" spans="1:8" x14ac:dyDescent="0.25">
      <c r="A1208" s="65">
        <v>44147</v>
      </c>
      <c r="B1208" s="66">
        <v>12690.8</v>
      </c>
      <c r="C1208" s="66">
        <v>12702.15</v>
      </c>
      <c r="D1208" s="66">
        <v>12741.15</v>
      </c>
      <c r="E1208" s="66">
        <v>12624.85</v>
      </c>
      <c r="F1208" s="67" t="s">
        <v>1511</v>
      </c>
      <c r="G1208" s="68">
        <v>-4.5999999999999999E-3</v>
      </c>
      <c r="H1208" s="64"/>
    </row>
    <row r="1209" spans="1:8" x14ac:dyDescent="0.25">
      <c r="A1209" s="65">
        <v>44148</v>
      </c>
      <c r="B1209" s="66">
        <v>12719.95</v>
      </c>
      <c r="C1209" s="66">
        <v>12659.7</v>
      </c>
      <c r="D1209" s="66">
        <v>12735.95</v>
      </c>
      <c r="E1209" s="66">
        <v>12607.7</v>
      </c>
      <c r="F1209" s="67" t="s">
        <v>1510</v>
      </c>
      <c r="G1209" s="68">
        <v>2.3E-3</v>
      </c>
      <c r="H1209" s="64"/>
    </row>
    <row r="1210" spans="1:8" x14ac:dyDescent="0.25">
      <c r="A1210" s="65">
        <v>44149</v>
      </c>
      <c r="B1210" s="66">
        <v>12780.25</v>
      </c>
      <c r="C1210" s="66">
        <v>12823.35</v>
      </c>
      <c r="D1210" s="66">
        <v>12828.7</v>
      </c>
      <c r="E1210" s="66">
        <v>12749.45</v>
      </c>
      <c r="F1210" s="67" t="s">
        <v>1509</v>
      </c>
      <c r="G1210" s="68">
        <v>4.7000000000000002E-3</v>
      </c>
      <c r="H1210" s="64"/>
    </row>
    <row r="1211" spans="1:8" x14ac:dyDescent="0.25">
      <c r="A1211" s="65">
        <v>44152</v>
      </c>
      <c r="B1211" s="66">
        <v>12874.2</v>
      </c>
      <c r="C1211" s="66">
        <v>12932.5</v>
      </c>
      <c r="D1211" s="66">
        <v>12934.05</v>
      </c>
      <c r="E1211" s="66">
        <v>12797.1</v>
      </c>
      <c r="F1211" s="67" t="s">
        <v>1508</v>
      </c>
      <c r="G1211" s="68">
        <v>7.4000000000000003E-3</v>
      </c>
      <c r="H1211" s="64"/>
    </row>
    <row r="1212" spans="1:8" x14ac:dyDescent="0.25">
      <c r="A1212" s="65">
        <v>44153</v>
      </c>
      <c r="B1212" s="66">
        <v>12938.25</v>
      </c>
      <c r="C1212" s="66">
        <v>12860.1</v>
      </c>
      <c r="D1212" s="66">
        <v>12948.85</v>
      </c>
      <c r="E1212" s="66">
        <v>12819.35</v>
      </c>
      <c r="F1212" s="67" t="s">
        <v>1507</v>
      </c>
      <c r="G1212" s="68">
        <v>5.0000000000000001E-3</v>
      </c>
      <c r="H1212" s="64"/>
    </row>
    <row r="1213" spans="1:8" x14ac:dyDescent="0.25">
      <c r="A1213" s="65">
        <v>44154</v>
      </c>
      <c r="B1213" s="66">
        <v>12771.7</v>
      </c>
      <c r="C1213" s="66">
        <v>12839.5</v>
      </c>
      <c r="D1213" s="66">
        <v>12963</v>
      </c>
      <c r="E1213" s="66">
        <v>12745.75</v>
      </c>
      <c r="F1213" s="67" t="s">
        <v>1506</v>
      </c>
      <c r="G1213" s="68">
        <v>-1.29E-2</v>
      </c>
      <c r="H1213" s="64"/>
    </row>
    <row r="1214" spans="1:8" x14ac:dyDescent="0.25">
      <c r="A1214" s="65">
        <v>44155</v>
      </c>
      <c r="B1214" s="66">
        <v>12859.05</v>
      </c>
      <c r="C1214" s="66">
        <v>12813.4</v>
      </c>
      <c r="D1214" s="66">
        <v>12892.45</v>
      </c>
      <c r="E1214" s="66">
        <v>12730.25</v>
      </c>
      <c r="F1214" s="67" t="s">
        <v>1505</v>
      </c>
      <c r="G1214" s="68">
        <v>6.7999999999999996E-3</v>
      </c>
      <c r="H1214" s="64"/>
    </row>
    <row r="1215" spans="1:8" x14ac:dyDescent="0.25">
      <c r="A1215" s="65">
        <v>44158</v>
      </c>
      <c r="B1215" s="66">
        <v>12926.45</v>
      </c>
      <c r="C1215" s="66">
        <v>12960.3</v>
      </c>
      <c r="D1215" s="66">
        <v>12968.85</v>
      </c>
      <c r="E1215" s="66">
        <v>12825.7</v>
      </c>
      <c r="F1215" s="67" t="s">
        <v>1504</v>
      </c>
      <c r="G1215" s="68">
        <v>5.1999999999999998E-3</v>
      </c>
      <c r="H1215" s="64"/>
    </row>
    <row r="1216" spans="1:8" x14ac:dyDescent="0.25">
      <c r="A1216" s="65">
        <v>44159</v>
      </c>
      <c r="B1216" s="66">
        <v>13055.15</v>
      </c>
      <c r="C1216" s="66">
        <v>13002.6</v>
      </c>
      <c r="D1216" s="66">
        <v>13079.1</v>
      </c>
      <c r="E1216" s="66">
        <v>12978</v>
      </c>
      <c r="F1216" s="67" t="s">
        <v>1503</v>
      </c>
      <c r="G1216" s="68">
        <v>0.01</v>
      </c>
      <c r="H1216" s="64"/>
    </row>
    <row r="1217" spans="1:8" x14ac:dyDescent="0.25">
      <c r="A1217" s="65">
        <v>44160</v>
      </c>
      <c r="B1217" s="66">
        <v>12858.4</v>
      </c>
      <c r="C1217" s="66">
        <v>13130</v>
      </c>
      <c r="D1217" s="66">
        <v>13145.85</v>
      </c>
      <c r="E1217" s="66">
        <v>12833.65</v>
      </c>
      <c r="F1217" s="67" t="s">
        <v>1502</v>
      </c>
      <c r="G1217" s="68">
        <v>-1.5100000000000001E-2</v>
      </c>
      <c r="H1217" s="64"/>
    </row>
    <row r="1218" spans="1:8" x14ac:dyDescent="0.25">
      <c r="A1218" s="65">
        <v>44161</v>
      </c>
      <c r="B1218" s="66">
        <v>12987</v>
      </c>
      <c r="C1218" s="66">
        <v>12906.45</v>
      </c>
      <c r="D1218" s="66">
        <v>13018</v>
      </c>
      <c r="E1218" s="66">
        <v>12790.4</v>
      </c>
      <c r="F1218" s="67" t="s">
        <v>1501</v>
      </c>
      <c r="G1218" s="68">
        <v>0.01</v>
      </c>
      <c r="H1218" s="64"/>
    </row>
    <row r="1219" spans="1:8" x14ac:dyDescent="0.25">
      <c r="A1219" s="65">
        <v>44162</v>
      </c>
      <c r="B1219" s="66">
        <v>12968.95</v>
      </c>
      <c r="C1219" s="66">
        <v>13012.05</v>
      </c>
      <c r="D1219" s="66">
        <v>13035.3</v>
      </c>
      <c r="E1219" s="66">
        <v>12914.3</v>
      </c>
      <c r="F1219" s="67" t="s">
        <v>1500</v>
      </c>
      <c r="G1219" s="68">
        <v>-1.4E-3</v>
      </c>
      <c r="H1219" s="64"/>
    </row>
    <row r="1220" spans="1:8" x14ac:dyDescent="0.25">
      <c r="A1220" s="65">
        <v>44166</v>
      </c>
      <c r="B1220" s="66">
        <v>13109.05</v>
      </c>
      <c r="C1220" s="66">
        <v>13062.2</v>
      </c>
      <c r="D1220" s="66">
        <v>13128.4</v>
      </c>
      <c r="E1220" s="66">
        <v>12962.8</v>
      </c>
      <c r="F1220" s="67" t="s">
        <v>1499</v>
      </c>
      <c r="G1220" s="68">
        <v>1.0800000000000001E-2</v>
      </c>
      <c r="H1220" s="64"/>
    </row>
    <row r="1221" spans="1:8" x14ac:dyDescent="0.25">
      <c r="A1221" s="65">
        <v>44167</v>
      </c>
      <c r="B1221" s="66">
        <v>13113.75</v>
      </c>
      <c r="C1221" s="66">
        <v>13121.4</v>
      </c>
      <c r="D1221" s="66">
        <v>13128.5</v>
      </c>
      <c r="E1221" s="66">
        <v>12983.55</v>
      </c>
      <c r="F1221" s="67" t="s">
        <v>1498</v>
      </c>
      <c r="G1221" s="68">
        <v>4.0000000000000002E-4</v>
      </c>
      <c r="H1221" s="64"/>
    </row>
    <row r="1222" spans="1:8" x14ac:dyDescent="0.25">
      <c r="A1222" s="65">
        <v>44168</v>
      </c>
      <c r="B1222" s="66">
        <v>13133.9</v>
      </c>
      <c r="C1222" s="66">
        <v>13215.3</v>
      </c>
      <c r="D1222" s="66">
        <v>13216.6</v>
      </c>
      <c r="E1222" s="66">
        <v>13107.9</v>
      </c>
      <c r="F1222" s="67" t="s">
        <v>1497</v>
      </c>
      <c r="G1222" s="68">
        <v>1.5E-3</v>
      </c>
      <c r="H1222" s="64"/>
    </row>
    <row r="1223" spans="1:8" x14ac:dyDescent="0.25">
      <c r="A1223" s="65">
        <v>44169</v>
      </c>
      <c r="B1223" s="66">
        <v>13258.55</v>
      </c>
      <c r="C1223" s="66">
        <v>13177.4</v>
      </c>
      <c r="D1223" s="66">
        <v>13280.05</v>
      </c>
      <c r="E1223" s="66">
        <v>13152.85</v>
      </c>
      <c r="F1223" s="67" t="s">
        <v>1496</v>
      </c>
      <c r="G1223" s="68">
        <v>9.4999999999999998E-3</v>
      </c>
      <c r="H1223" s="64"/>
    </row>
    <row r="1224" spans="1:8" x14ac:dyDescent="0.25">
      <c r="A1224" s="65">
        <v>44172</v>
      </c>
      <c r="B1224" s="66">
        <v>13355.75</v>
      </c>
      <c r="C1224" s="66">
        <v>13264.85</v>
      </c>
      <c r="D1224" s="66">
        <v>13366.65</v>
      </c>
      <c r="E1224" s="66">
        <v>13241.95</v>
      </c>
      <c r="F1224" s="67" t="s">
        <v>1495</v>
      </c>
      <c r="G1224" s="68">
        <v>7.3000000000000001E-3</v>
      </c>
      <c r="H1224" s="64"/>
    </row>
    <row r="1225" spans="1:8" x14ac:dyDescent="0.25">
      <c r="A1225" s="65">
        <v>44173</v>
      </c>
      <c r="B1225" s="66">
        <v>13392.95</v>
      </c>
      <c r="C1225" s="66">
        <v>13393.85</v>
      </c>
      <c r="D1225" s="66">
        <v>13435.45</v>
      </c>
      <c r="E1225" s="66">
        <v>13311.05</v>
      </c>
      <c r="F1225" s="67" t="s">
        <v>1494</v>
      </c>
      <c r="G1225" s="68">
        <v>2.8E-3</v>
      </c>
      <c r="H1225" s="64"/>
    </row>
    <row r="1226" spans="1:8" x14ac:dyDescent="0.25">
      <c r="A1226" s="65">
        <v>44174</v>
      </c>
      <c r="B1226" s="66">
        <v>13529.1</v>
      </c>
      <c r="C1226" s="66">
        <v>13458.1</v>
      </c>
      <c r="D1226" s="66">
        <v>13548.9</v>
      </c>
      <c r="E1226" s="66">
        <v>13449.6</v>
      </c>
      <c r="F1226" s="67" t="s">
        <v>1493</v>
      </c>
      <c r="G1226" s="68">
        <v>1.0200000000000001E-2</v>
      </c>
      <c r="H1226" s="64"/>
    </row>
    <row r="1227" spans="1:8" x14ac:dyDescent="0.25">
      <c r="A1227" s="65">
        <v>44175</v>
      </c>
      <c r="B1227" s="66">
        <v>13478.3</v>
      </c>
      <c r="C1227" s="66">
        <v>13488.5</v>
      </c>
      <c r="D1227" s="66">
        <v>13503.55</v>
      </c>
      <c r="E1227" s="66">
        <v>13399.3</v>
      </c>
      <c r="F1227" s="67" t="s">
        <v>1492</v>
      </c>
      <c r="G1227" s="68">
        <v>-3.8E-3</v>
      </c>
      <c r="H1227" s="64"/>
    </row>
    <row r="1228" spans="1:8" x14ac:dyDescent="0.25">
      <c r="A1228" s="65">
        <v>44176</v>
      </c>
      <c r="B1228" s="66">
        <v>13513.85</v>
      </c>
      <c r="C1228" s="66">
        <v>13512.3</v>
      </c>
      <c r="D1228" s="66">
        <v>13579.35</v>
      </c>
      <c r="E1228" s="66">
        <v>13402.85</v>
      </c>
      <c r="F1228" s="67" t="s">
        <v>1491</v>
      </c>
      <c r="G1228" s="68">
        <v>2.5999999999999999E-3</v>
      </c>
      <c r="H1228" s="64"/>
    </row>
    <row r="1229" spans="1:8" x14ac:dyDescent="0.25">
      <c r="A1229" s="65">
        <v>44179</v>
      </c>
      <c r="B1229" s="66">
        <v>13558.15</v>
      </c>
      <c r="C1229" s="66">
        <v>13571.45</v>
      </c>
      <c r="D1229" s="66">
        <v>13597.5</v>
      </c>
      <c r="E1229" s="66">
        <v>13472.45</v>
      </c>
      <c r="F1229" s="67" t="s">
        <v>1490</v>
      </c>
      <c r="G1229" s="68">
        <v>3.3E-3</v>
      </c>
      <c r="H1229" s="64"/>
    </row>
    <row r="1230" spans="1:8" x14ac:dyDescent="0.25">
      <c r="A1230" s="65">
        <v>44180</v>
      </c>
      <c r="B1230" s="66">
        <v>13567.85</v>
      </c>
      <c r="C1230" s="66">
        <v>13547.2</v>
      </c>
      <c r="D1230" s="66">
        <v>13589.65</v>
      </c>
      <c r="E1230" s="66">
        <v>13447.05</v>
      </c>
      <c r="F1230" s="67" t="s">
        <v>1489</v>
      </c>
      <c r="G1230" s="68">
        <v>6.9999999999999999E-4</v>
      </c>
      <c r="H1230" s="64"/>
    </row>
    <row r="1231" spans="1:8" x14ac:dyDescent="0.25">
      <c r="A1231" s="65">
        <v>44181</v>
      </c>
      <c r="B1231" s="66">
        <v>13682.7</v>
      </c>
      <c r="C1231" s="66">
        <v>13663.1</v>
      </c>
      <c r="D1231" s="66">
        <v>13692.35</v>
      </c>
      <c r="E1231" s="66">
        <v>13606.45</v>
      </c>
      <c r="F1231" s="67" t="s">
        <v>1488</v>
      </c>
      <c r="G1231" s="68">
        <v>8.5000000000000006E-3</v>
      </c>
      <c r="H1231" s="64"/>
    </row>
    <row r="1232" spans="1:8" x14ac:dyDescent="0.25">
      <c r="A1232" s="65">
        <v>44182</v>
      </c>
      <c r="B1232" s="66">
        <v>13740.7</v>
      </c>
      <c r="C1232" s="66">
        <v>13713.55</v>
      </c>
      <c r="D1232" s="66">
        <v>13773.25</v>
      </c>
      <c r="E1232" s="66">
        <v>13673.55</v>
      </c>
      <c r="F1232" s="67" t="s">
        <v>1487</v>
      </c>
      <c r="G1232" s="68">
        <v>4.1999999999999997E-3</v>
      </c>
      <c r="H1232" s="64"/>
    </row>
    <row r="1233" spans="1:8" x14ac:dyDescent="0.25">
      <c r="A1233" s="65">
        <v>44183</v>
      </c>
      <c r="B1233" s="66">
        <v>13760.55</v>
      </c>
      <c r="C1233" s="66">
        <v>13764.4</v>
      </c>
      <c r="D1233" s="66">
        <v>13772.85</v>
      </c>
      <c r="E1233" s="66">
        <v>13658.6</v>
      </c>
      <c r="F1233" s="67" t="s">
        <v>1486</v>
      </c>
      <c r="G1233" s="68">
        <v>1.4E-3</v>
      </c>
      <c r="H1233" s="64"/>
    </row>
    <row r="1234" spans="1:8" x14ac:dyDescent="0.25">
      <c r="A1234" s="65">
        <v>44186</v>
      </c>
      <c r="B1234" s="66">
        <v>13328.4</v>
      </c>
      <c r="C1234" s="66">
        <v>13741.9</v>
      </c>
      <c r="D1234" s="66">
        <v>13777.5</v>
      </c>
      <c r="E1234" s="66">
        <v>13131.45</v>
      </c>
      <c r="F1234" s="67" t="s">
        <v>1485</v>
      </c>
      <c r="G1234" s="68">
        <v>-3.1399999999999997E-2</v>
      </c>
      <c r="H1234" s="64"/>
    </row>
    <row r="1235" spans="1:8" x14ac:dyDescent="0.25">
      <c r="A1235" s="65">
        <v>44187</v>
      </c>
      <c r="B1235" s="66">
        <v>13466.3</v>
      </c>
      <c r="C1235" s="66">
        <v>13373.65</v>
      </c>
      <c r="D1235" s="66">
        <v>13492.05</v>
      </c>
      <c r="E1235" s="66">
        <v>13192.9</v>
      </c>
      <c r="F1235" s="67" t="s">
        <v>1484</v>
      </c>
      <c r="G1235" s="68">
        <v>1.03E-2</v>
      </c>
      <c r="H1235" s="64"/>
    </row>
    <row r="1236" spans="1:8" x14ac:dyDescent="0.25">
      <c r="A1236" s="65">
        <v>44188</v>
      </c>
      <c r="B1236" s="66">
        <v>13601.1</v>
      </c>
      <c r="C1236" s="66">
        <v>13473.5</v>
      </c>
      <c r="D1236" s="66">
        <v>13619.45</v>
      </c>
      <c r="E1236" s="66">
        <v>13432.2</v>
      </c>
      <c r="F1236" s="67" t="s">
        <v>1483</v>
      </c>
      <c r="G1236" s="68">
        <v>0.01</v>
      </c>
      <c r="H1236" s="64"/>
    </row>
    <row r="1237" spans="1:8" x14ac:dyDescent="0.25">
      <c r="A1237" s="65">
        <v>44189</v>
      </c>
      <c r="B1237" s="66">
        <v>13749.25</v>
      </c>
      <c r="C1237" s="66">
        <v>13672.15</v>
      </c>
      <c r="D1237" s="66">
        <v>13771.75</v>
      </c>
      <c r="E1237" s="66">
        <v>13626.9</v>
      </c>
      <c r="F1237" s="67" t="s">
        <v>1482</v>
      </c>
      <c r="G1237" s="68">
        <v>1.09E-2</v>
      </c>
      <c r="H1237" s="64"/>
    </row>
    <row r="1238" spans="1:8" x14ac:dyDescent="0.25">
      <c r="A1238" s="65">
        <v>44193</v>
      </c>
      <c r="B1238" s="66">
        <v>13873.2</v>
      </c>
      <c r="C1238" s="66">
        <v>13815.15</v>
      </c>
      <c r="D1238" s="66">
        <v>13885.3</v>
      </c>
      <c r="E1238" s="66">
        <v>13811.55</v>
      </c>
      <c r="F1238" s="67" t="s">
        <v>1481</v>
      </c>
      <c r="G1238" s="68">
        <v>8.9999999999999993E-3</v>
      </c>
      <c r="H1238" s="64"/>
    </row>
    <row r="1239" spans="1:8" x14ac:dyDescent="0.25">
      <c r="A1239" s="65">
        <v>44194</v>
      </c>
      <c r="B1239" s="66">
        <v>13932.6</v>
      </c>
      <c r="C1239" s="66">
        <v>13910.35</v>
      </c>
      <c r="D1239" s="66">
        <v>13967.6</v>
      </c>
      <c r="E1239" s="66">
        <v>13859.9</v>
      </c>
      <c r="F1239" s="67" t="s">
        <v>1480</v>
      </c>
      <c r="G1239" s="68">
        <v>4.3E-3</v>
      </c>
      <c r="H1239" s="64"/>
    </row>
    <row r="1240" spans="1:8" x14ac:dyDescent="0.25">
      <c r="A1240" s="65">
        <v>44195</v>
      </c>
      <c r="B1240" s="66">
        <v>13981.95</v>
      </c>
      <c r="C1240" s="66">
        <v>13980.9</v>
      </c>
      <c r="D1240" s="66">
        <v>13997</v>
      </c>
      <c r="E1240" s="66">
        <v>13864.95</v>
      </c>
      <c r="F1240" s="67" t="s">
        <v>1479</v>
      </c>
      <c r="G1240" s="68">
        <v>3.5000000000000001E-3</v>
      </c>
      <c r="H1240" s="64"/>
    </row>
    <row r="1241" spans="1:8" x14ac:dyDescent="0.25">
      <c r="A1241" s="65">
        <v>44196</v>
      </c>
      <c r="B1241" s="66">
        <v>13981.75</v>
      </c>
      <c r="C1241" s="66">
        <v>13970</v>
      </c>
      <c r="D1241" s="66">
        <v>14024.85</v>
      </c>
      <c r="E1241" s="66">
        <v>13936.45</v>
      </c>
      <c r="F1241" s="67" t="s">
        <v>1478</v>
      </c>
      <c r="G1241" s="68">
        <v>0</v>
      </c>
      <c r="H1241" s="64"/>
    </row>
    <row r="1242" spans="1:8" x14ac:dyDescent="0.25">
      <c r="A1242" s="65">
        <v>44197</v>
      </c>
      <c r="B1242" s="66">
        <v>14018.5</v>
      </c>
      <c r="C1242" s="66">
        <v>13996.1</v>
      </c>
      <c r="D1242" s="66">
        <v>14049.85</v>
      </c>
      <c r="E1242" s="66">
        <v>13991.35</v>
      </c>
      <c r="F1242" s="67" t="s">
        <v>1224</v>
      </c>
      <c r="G1242" s="68">
        <v>2.5999999999999999E-3</v>
      </c>
      <c r="H1242" s="64"/>
    </row>
    <row r="1243" spans="1:8" x14ac:dyDescent="0.25">
      <c r="A1243" s="65">
        <v>44200</v>
      </c>
      <c r="B1243" s="66">
        <v>14132.9</v>
      </c>
      <c r="C1243" s="66">
        <v>14104.35</v>
      </c>
      <c r="D1243" s="66">
        <v>14147.95</v>
      </c>
      <c r="E1243" s="66">
        <v>13953.75</v>
      </c>
      <c r="F1243" s="67" t="s">
        <v>1477</v>
      </c>
      <c r="G1243" s="68">
        <v>8.2000000000000007E-3</v>
      </c>
      <c r="H1243" s="64"/>
    </row>
    <row r="1244" spans="1:8" x14ac:dyDescent="0.25">
      <c r="A1244" s="65">
        <v>44201</v>
      </c>
      <c r="B1244" s="66">
        <v>14199.5</v>
      </c>
      <c r="C1244" s="66">
        <v>14075.15</v>
      </c>
      <c r="D1244" s="66">
        <v>14215.6</v>
      </c>
      <c r="E1244" s="66">
        <v>14048.15</v>
      </c>
      <c r="F1244" s="67" t="s">
        <v>1476</v>
      </c>
      <c r="G1244" s="68">
        <v>4.7000000000000002E-3</v>
      </c>
      <c r="H1244" s="64"/>
    </row>
    <row r="1245" spans="1:8" x14ac:dyDescent="0.25">
      <c r="A1245" s="65">
        <v>44202</v>
      </c>
      <c r="B1245" s="66">
        <v>14146.25</v>
      </c>
      <c r="C1245" s="66">
        <v>14240.95</v>
      </c>
      <c r="D1245" s="66">
        <v>14244.15</v>
      </c>
      <c r="E1245" s="66">
        <v>14039.9</v>
      </c>
      <c r="F1245" s="67" t="s">
        <v>1475</v>
      </c>
      <c r="G1245" s="68">
        <v>-3.8E-3</v>
      </c>
      <c r="H1245" s="64"/>
    </row>
    <row r="1246" spans="1:8" x14ac:dyDescent="0.25">
      <c r="A1246" s="65">
        <v>44203</v>
      </c>
      <c r="B1246" s="66">
        <v>14137.35</v>
      </c>
      <c r="C1246" s="66">
        <v>14253.75</v>
      </c>
      <c r="D1246" s="66">
        <v>14256.25</v>
      </c>
      <c r="E1246" s="66">
        <v>14123.1</v>
      </c>
      <c r="F1246" s="67" t="s">
        <v>1474</v>
      </c>
      <c r="G1246" s="68">
        <v>-5.9999999999999995E-4</v>
      </c>
      <c r="H1246" s="64"/>
    </row>
    <row r="1247" spans="1:8" x14ac:dyDescent="0.25">
      <c r="A1247" s="65">
        <v>44204</v>
      </c>
      <c r="B1247" s="66">
        <v>14347.25</v>
      </c>
      <c r="C1247" s="66">
        <v>14258.4</v>
      </c>
      <c r="D1247" s="66">
        <v>14367.3</v>
      </c>
      <c r="E1247" s="66">
        <v>14221.65</v>
      </c>
      <c r="F1247" s="67" t="s">
        <v>1473</v>
      </c>
      <c r="G1247" s="68">
        <v>1.4800000000000001E-2</v>
      </c>
      <c r="H1247" s="64"/>
    </row>
    <row r="1248" spans="1:8" x14ac:dyDescent="0.25">
      <c r="A1248" s="65">
        <v>44207</v>
      </c>
      <c r="B1248" s="66">
        <v>14484.75</v>
      </c>
      <c r="C1248" s="66">
        <v>14474.05</v>
      </c>
      <c r="D1248" s="66">
        <v>14498.2</v>
      </c>
      <c r="E1248" s="66">
        <v>14383.1</v>
      </c>
      <c r="F1248" s="67" t="s">
        <v>1472</v>
      </c>
      <c r="G1248" s="68">
        <v>9.5999999999999992E-3</v>
      </c>
      <c r="H1248" s="64"/>
    </row>
    <row r="1249" spans="1:8" x14ac:dyDescent="0.25">
      <c r="A1249" s="65">
        <v>44208</v>
      </c>
      <c r="B1249" s="66">
        <v>14563.45</v>
      </c>
      <c r="C1249" s="66">
        <v>14473.8</v>
      </c>
      <c r="D1249" s="66">
        <v>14590.65</v>
      </c>
      <c r="E1249" s="66">
        <v>14432.85</v>
      </c>
      <c r="F1249" s="67" t="s">
        <v>1471</v>
      </c>
      <c r="G1249" s="68">
        <v>5.4000000000000003E-3</v>
      </c>
      <c r="H1249" s="64"/>
    </row>
    <row r="1250" spans="1:8" x14ac:dyDescent="0.25">
      <c r="A1250" s="65">
        <v>44209</v>
      </c>
      <c r="B1250" s="66">
        <v>14564.85</v>
      </c>
      <c r="C1250" s="66">
        <v>14639.8</v>
      </c>
      <c r="D1250" s="66">
        <v>14653.35</v>
      </c>
      <c r="E1250" s="66">
        <v>14435.7</v>
      </c>
      <c r="F1250" s="67" t="s">
        <v>1470</v>
      </c>
      <c r="G1250" s="68">
        <v>1E-4</v>
      </c>
      <c r="H1250" s="64"/>
    </row>
    <row r="1251" spans="1:8" x14ac:dyDescent="0.25">
      <c r="A1251" s="65">
        <v>44210</v>
      </c>
      <c r="B1251" s="66">
        <v>14595.6</v>
      </c>
      <c r="C1251" s="66">
        <v>14550.05</v>
      </c>
      <c r="D1251" s="66">
        <v>14617.8</v>
      </c>
      <c r="E1251" s="66">
        <v>14471.5</v>
      </c>
      <c r="F1251" s="67" t="s">
        <v>1469</v>
      </c>
      <c r="G1251" s="68">
        <v>2.0999999999999999E-3</v>
      </c>
      <c r="H1251" s="64"/>
    </row>
    <row r="1252" spans="1:8" x14ac:dyDescent="0.25">
      <c r="A1252" s="65">
        <v>44211</v>
      </c>
      <c r="B1252" s="66">
        <v>14433.7</v>
      </c>
      <c r="C1252" s="66">
        <v>14594.35</v>
      </c>
      <c r="D1252" s="66">
        <v>14617.45</v>
      </c>
      <c r="E1252" s="66">
        <v>14357.85</v>
      </c>
      <c r="F1252" s="67" t="s">
        <v>1468</v>
      </c>
      <c r="G1252" s="68">
        <v>-1.11E-2</v>
      </c>
      <c r="H1252" s="64"/>
    </row>
    <row r="1253" spans="1:8" x14ac:dyDescent="0.25">
      <c r="A1253" s="65">
        <v>44214</v>
      </c>
      <c r="B1253" s="66">
        <v>14281.3</v>
      </c>
      <c r="C1253" s="66">
        <v>14453.3</v>
      </c>
      <c r="D1253" s="66">
        <v>14459.15</v>
      </c>
      <c r="E1253" s="66">
        <v>14222.8</v>
      </c>
      <c r="F1253" s="67" t="s">
        <v>1467</v>
      </c>
      <c r="G1253" s="68">
        <v>-1.06E-2</v>
      </c>
      <c r="H1253" s="64"/>
    </row>
    <row r="1254" spans="1:8" x14ac:dyDescent="0.25">
      <c r="A1254" s="65">
        <v>44215</v>
      </c>
      <c r="B1254" s="66">
        <v>14521.15</v>
      </c>
      <c r="C1254" s="66">
        <v>14371.65</v>
      </c>
      <c r="D1254" s="66">
        <v>14546.05</v>
      </c>
      <c r="E1254" s="66">
        <v>14350.85</v>
      </c>
      <c r="F1254" s="67" t="s">
        <v>1466</v>
      </c>
      <c r="G1254" s="68">
        <v>1.6799999999999999E-2</v>
      </c>
      <c r="H1254" s="64"/>
    </row>
    <row r="1255" spans="1:8" x14ac:dyDescent="0.25">
      <c r="A1255" s="65">
        <v>44216</v>
      </c>
      <c r="B1255" s="66">
        <v>14644.7</v>
      </c>
      <c r="C1255" s="66">
        <v>14538.3</v>
      </c>
      <c r="D1255" s="66">
        <v>14666.45</v>
      </c>
      <c r="E1255" s="66">
        <v>14517.55</v>
      </c>
      <c r="F1255" s="67" t="s">
        <v>1465</v>
      </c>
      <c r="G1255" s="68">
        <v>8.5000000000000006E-3</v>
      </c>
      <c r="H1255" s="64"/>
    </row>
    <row r="1256" spans="1:8" x14ac:dyDescent="0.25">
      <c r="A1256" s="65">
        <v>44217</v>
      </c>
      <c r="B1256" s="66">
        <v>14590.35</v>
      </c>
      <c r="C1256" s="66">
        <v>14730.95</v>
      </c>
      <c r="D1256" s="66">
        <v>14753.55</v>
      </c>
      <c r="E1256" s="66">
        <v>14517.25</v>
      </c>
      <c r="F1256" s="67" t="s">
        <v>1464</v>
      </c>
      <c r="G1256" s="68">
        <v>-3.7000000000000002E-3</v>
      </c>
      <c r="H1256" s="64"/>
    </row>
    <row r="1257" spans="1:8" x14ac:dyDescent="0.25">
      <c r="A1257" s="65">
        <v>44218</v>
      </c>
      <c r="B1257" s="66">
        <v>14371.9</v>
      </c>
      <c r="C1257" s="66">
        <v>14583.4</v>
      </c>
      <c r="D1257" s="66">
        <v>14619.9</v>
      </c>
      <c r="E1257" s="66">
        <v>14357.75</v>
      </c>
      <c r="F1257" s="67" t="s">
        <v>1463</v>
      </c>
      <c r="G1257" s="68">
        <v>-1.4999999999999999E-2</v>
      </c>
      <c r="H1257" s="64"/>
    </row>
    <row r="1258" spans="1:8" x14ac:dyDescent="0.25">
      <c r="A1258" s="65">
        <v>44221</v>
      </c>
      <c r="B1258" s="66">
        <v>14238.9</v>
      </c>
      <c r="C1258" s="66">
        <v>14477.8</v>
      </c>
      <c r="D1258" s="66">
        <v>14491.1</v>
      </c>
      <c r="E1258" s="66">
        <v>14218.6</v>
      </c>
      <c r="F1258" s="67" t="s">
        <v>1462</v>
      </c>
      <c r="G1258" s="68">
        <v>-9.2999999999999992E-3</v>
      </c>
      <c r="H1258" s="64"/>
    </row>
    <row r="1259" spans="1:8" x14ac:dyDescent="0.25">
      <c r="A1259" s="65">
        <v>44223</v>
      </c>
      <c r="B1259" s="66">
        <v>13967.5</v>
      </c>
      <c r="C1259" s="66">
        <v>14237.95</v>
      </c>
      <c r="D1259" s="66">
        <v>14237.95</v>
      </c>
      <c r="E1259" s="66">
        <v>13929.3</v>
      </c>
      <c r="F1259" s="67" t="s">
        <v>1461</v>
      </c>
      <c r="G1259" s="68">
        <v>-1.9099999999999999E-2</v>
      </c>
      <c r="H1259" s="64"/>
    </row>
    <row r="1260" spans="1:8" x14ac:dyDescent="0.25">
      <c r="A1260" s="65">
        <v>44224</v>
      </c>
      <c r="B1260" s="66">
        <v>13817.55</v>
      </c>
      <c r="C1260" s="66">
        <v>13810.4</v>
      </c>
      <c r="D1260" s="66">
        <v>13898.25</v>
      </c>
      <c r="E1260" s="66">
        <v>13713.25</v>
      </c>
      <c r="F1260" s="67" t="s">
        <v>1460</v>
      </c>
      <c r="G1260" s="68">
        <v>-1.0699999999999999E-2</v>
      </c>
      <c r="H1260" s="64"/>
    </row>
    <row r="1261" spans="1:8" x14ac:dyDescent="0.25">
      <c r="A1261" s="65">
        <v>44225</v>
      </c>
      <c r="B1261" s="66">
        <v>13634.6</v>
      </c>
      <c r="C1261" s="66">
        <v>13946.6</v>
      </c>
      <c r="D1261" s="66">
        <v>13966.85</v>
      </c>
      <c r="E1261" s="66">
        <v>13596.75</v>
      </c>
      <c r="F1261" s="67" t="s">
        <v>1459</v>
      </c>
      <c r="G1261" s="68">
        <v>-1.32E-2</v>
      </c>
      <c r="H1261" s="64"/>
    </row>
    <row r="1262" spans="1:8" x14ac:dyDescent="0.25">
      <c r="A1262" s="65">
        <v>44228</v>
      </c>
      <c r="B1262" s="66">
        <v>14281.2</v>
      </c>
      <c r="C1262" s="66">
        <v>13758.6</v>
      </c>
      <c r="D1262" s="66">
        <v>14336.35</v>
      </c>
      <c r="E1262" s="66">
        <v>13661.75</v>
      </c>
      <c r="F1262" s="67" t="s">
        <v>1458</v>
      </c>
      <c r="G1262" s="68">
        <v>4.7399999999999998E-2</v>
      </c>
      <c r="H1262" s="64"/>
    </row>
    <row r="1263" spans="1:8" x14ac:dyDescent="0.25">
      <c r="A1263" s="65">
        <v>44229</v>
      </c>
      <c r="B1263" s="66">
        <v>14647.85</v>
      </c>
      <c r="C1263" s="66">
        <v>14481.1</v>
      </c>
      <c r="D1263" s="66">
        <v>14731.7</v>
      </c>
      <c r="E1263" s="66">
        <v>14469.15</v>
      </c>
      <c r="F1263" s="67" t="s">
        <v>1457</v>
      </c>
      <c r="G1263" s="68">
        <v>2.5700000000000001E-2</v>
      </c>
      <c r="H1263" s="64"/>
    </row>
    <row r="1264" spans="1:8" x14ac:dyDescent="0.25">
      <c r="A1264" s="65">
        <v>44230</v>
      </c>
      <c r="B1264" s="66">
        <v>14789.95</v>
      </c>
      <c r="C1264" s="66">
        <v>14754.9</v>
      </c>
      <c r="D1264" s="66">
        <v>14868.85</v>
      </c>
      <c r="E1264" s="66">
        <v>14574.15</v>
      </c>
      <c r="F1264" s="67" t="s">
        <v>1456</v>
      </c>
      <c r="G1264" s="68">
        <v>9.7000000000000003E-3</v>
      </c>
      <c r="H1264" s="64"/>
    </row>
    <row r="1265" spans="1:8" x14ac:dyDescent="0.25">
      <c r="A1265" s="65">
        <v>44231</v>
      </c>
      <c r="B1265" s="66">
        <v>14895.65</v>
      </c>
      <c r="C1265" s="66">
        <v>14789.05</v>
      </c>
      <c r="D1265" s="66">
        <v>14913.7</v>
      </c>
      <c r="E1265" s="66">
        <v>14714.75</v>
      </c>
      <c r="F1265" s="67" t="s">
        <v>1455</v>
      </c>
      <c r="G1265" s="68">
        <v>7.1000000000000004E-3</v>
      </c>
      <c r="H1265" s="64"/>
    </row>
    <row r="1266" spans="1:8" x14ac:dyDescent="0.25">
      <c r="A1266" s="65">
        <v>44232</v>
      </c>
      <c r="B1266" s="66">
        <v>14924.25</v>
      </c>
      <c r="C1266" s="66">
        <v>14952.6</v>
      </c>
      <c r="D1266" s="66">
        <v>15014.65</v>
      </c>
      <c r="E1266" s="66">
        <v>14864.75</v>
      </c>
      <c r="F1266" s="67" t="s">
        <v>1454</v>
      </c>
      <c r="G1266" s="68">
        <v>1.9E-3</v>
      </c>
      <c r="H1266" s="64"/>
    </row>
    <row r="1267" spans="1:8" x14ac:dyDescent="0.25">
      <c r="A1267" s="65">
        <v>44235</v>
      </c>
      <c r="B1267" s="66">
        <v>15115.8</v>
      </c>
      <c r="C1267" s="66">
        <v>15064.3</v>
      </c>
      <c r="D1267" s="66">
        <v>15159.9</v>
      </c>
      <c r="E1267" s="66">
        <v>15041.05</v>
      </c>
      <c r="F1267" s="67" t="s">
        <v>1453</v>
      </c>
      <c r="G1267" s="68">
        <v>1.2800000000000001E-2</v>
      </c>
      <c r="H1267" s="64"/>
    </row>
    <row r="1268" spans="1:8" x14ac:dyDescent="0.25">
      <c r="A1268" s="65">
        <v>44236</v>
      </c>
      <c r="B1268" s="66">
        <v>15109.3</v>
      </c>
      <c r="C1268" s="66">
        <v>15164.15</v>
      </c>
      <c r="D1268" s="66">
        <v>15257.1</v>
      </c>
      <c r="E1268" s="66">
        <v>15064.3</v>
      </c>
      <c r="F1268" s="67" t="s">
        <v>1452</v>
      </c>
      <c r="G1268" s="68">
        <v>-4.0000000000000002E-4</v>
      </c>
      <c r="H1268" s="64"/>
    </row>
    <row r="1269" spans="1:8" x14ac:dyDescent="0.25">
      <c r="A1269" s="65">
        <v>44237</v>
      </c>
      <c r="B1269" s="66">
        <v>15106.5</v>
      </c>
      <c r="C1269" s="66">
        <v>15119.05</v>
      </c>
      <c r="D1269" s="66">
        <v>15168.25</v>
      </c>
      <c r="E1269" s="66">
        <v>14977.2</v>
      </c>
      <c r="F1269" s="67" t="s">
        <v>1451</v>
      </c>
      <c r="G1269" s="68">
        <v>-2.0000000000000001E-4</v>
      </c>
      <c r="H1269" s="64"/>
    </row>
    <row r="1270" spans="1:8" x14ac:dyDescent="0.25">
      <c r="A1270" s="65">
        <v>44238</v>
      </c>
      <c r="B1270" s="66">
        <v>15173.3</v>
      </c>
      <c r="C1270" s="66">
        <v>15073.25</v>
      </c>
      <c r="D1270" s="66">
        <v>15188.5</v>
      </c>
      <c r="E1270" s="66">
        <v>15065.4</v>
      </c>
      <c r="F1270" s="67" t="s">
        <v>1450</v>
      </c>
      <c r="G1270" s="68">
        <v>4.4000000000000003E-3</v>
      </c>
      <c r="H1270" s="64"/>
    </row>
    <row r="1271" spans="1:8" x14ac:dyDescent="0.25">
      <c r="A1271" s="65">
        <v>44239</v>
      </c>
      <c r="B1271" s="66">
        <v>15163.3</v>
      </c>
      <c r="C1271" s="66">
        <v>15186.2</v>
      </c>
      <c r="D1271" s="66">
        <v>15243.5</v>
      </c>
      <c r="E1271" s="66">
        <v>15081</v>
      </c>
      <c r="F1271" s="67" t="s">
        <v>1449</v>
      </c>
      <c r="G1271" s="68">
        <v>-6.9999999999999999E-4</v>
      </c>
      <c r="H1271" s="64"/>
    </row>
    <row r="1272" spans="1:8" x14ac:dyDescent="0.25">
      <c r="A1272" s="65">
        <v>44242</v>
      </c>
      <c r="B1272" s="66">
        <v>15314.7</v>
      </c>
      <c r="C1272" s="66">
        <v>15270.3</v>
      </c>
      <c r="D1272" s="66">
        <v>15340.15</v>
      </c>
      <c r="E1272" s="66">
        <v>15243.4</v>
      </c>
      <c r="F1272" s="67" t="s">
        <v>1448</v>
      </c>
      <c r="G1272" s="68">
        <v>0.01</v>
      </c>
      <c r="H1272" s="64"/>
    </row>
    <row r="1273" spans="1:8" x14ac:dyDescent="0.25">
      <c r="A1273" s="65">
        <v>44243</v>
      </c>
      <c r="B1273" s="66">
        <v>15313.45</v>
      </c>
      <c r="C1273" s="66">
        <v>15371.45</v>
      </c>
      <c r="D1273" s="66">
        <v>15431.75</v>
      </c>
      <c r="E1273" s="66">
        <v>15242.2</v>
      </c>
      <c r="F1273" s="67" t="s">
        <v>1447</v>
      </c>
      <c r="G1273" s="68">
        <v>-1E-4</v>
      </c>
      <c r="H1273" s="64"/>
    </row>
    <row r="1274" spans="1:8" x14ac:dyDescent="0.25">
      <c r="A1274" s="65">
        <v>44244</v>
      </c>
      <c r="B1274" s="66">
        <v>15208.9</v>
      </c>
      <c r="C1274" s="66">
        <v>15279.9</v>
      </c>
      <c r="D1274" s="66">
        <v>15314.3</v>
      </c>
      <c r="E1274" s="66">
        <v>15170.75</v>
      </c>
      <c r="F1274" s="67" t="s">
        <v>1446</v>
      </c>
      <c r="G1274" s="68">
        <v>-6.7999999999999996E-3</v>
      </c>
      <c r="H1274" s="64"/>
    </row>
    <row r="1275" spans="1:8" x14ac:dyDescent="0.25">
      <c r="A1275" s="65">
        <v>44245</v>
      </c>
      <c r="B1275" s="66">
        <v>15118.95</v>
      </c>
      <c r="C1275" s="66">
        <v>15238.7</v>
      </c>
      <c r="D1275" s="66">
        <v>15250.75</v>
      </c>
      <c r="E1275" s="66">
        <v>15078.05</v>
      </c>
      <c r="F1275" s="67" t="s">
        <v>1445</v>
      </c>
      <c r="G1275" s="68">
        <v>-5.8999999999999999E-3</v>
      </c>
      <c r="H1275" s="64"/>
    </row>
    <row r="1276" spans="1:8" x14ac:dyDescent="0.25">
      <c r="A1276" s="65">
        <v>44246</v>
      </c>
      <c r="B1276" s="66">
        <v>14981.75</v>
      </c>
      <c r="C1276" s="66">
        <v>15074.8</v>
      </c>
      <c r="D1276" s="66">
        <v>15144.05</v>
      </c>
      <c r="E1276" s="66">
        <v>14898.2</v>
      </c>
      <c r="F1276" s="67" t="s">
        <v>1444</v>
      </c>
      <c r="G1276" s="68">
        <v>-9.1000000000000004E-3</v>
      </c>
      <c r="H1276" s="64"/>
    </row>
    <row r="1277" spans="1:8" x14ac:dyDescent="0.25">
      <c r="A1277" s="65">
        <v>44249</v>
      </c>
      <c r="B1277" s="66">
        <v>14675.7</v>
      </c>
      <c r="C1277" s="66">
        <v>14999.05</v>
      </c>
      <c r="D1277" s="66">
        <v>15010.1</v>
      </c>
      <c r="E1277" s="66">
        <v>14635.05</v>
      </c>
      <c r="F1277" s="67" t="s">
        <v>1443</v>
      </c>
      <c r="G1277" s="68">
        <v>-2.0400000000000001E-2</v>
      </c>
      <c r="H1277" s="64"/>
    </row>
    <row r="1278" spans="1:8" x14ac:dyDescent="0.25">
      <c r="A1278" s="65">
        <v>44250</v>
      </c>
      <c r="B1278" s="66">
        <v>14707.8</v>
      </c>
      <c r="C1278" s="66">
        <v>14782.25</v>
      </c>
      <c r="D1278" s="66">
        <v>14854.5</v>
      </c>
      <c r="E1278" s="66">
        <v>14651.85</v>
      </c>
      <c r="F1278" s="67" t="s">
        <v>1442</v>
      </c>
      <c r="G1278" s="68">
        <v>2.2000000000000001E-3</v>
      </c>
      <c r="H1278" s="64"/>
    </row>
    <row r="1279" spans="1:8" x14ac:dyDescent="0.25">
      <c r="A1279" s="65">
        <v>44251</v>
      </c>
      <c r="B1279" s="66">
        <v>14982</v>
      </c>
      <c r="C1279" s="66">
        <v>14729.15</v>
      </c>
      <c r="D1279" s="66">
        <v>15008.8</v>
      </c>
      <c r="E1279" s="66">
        <v>14723.05</v>
      </c>
      <c r="F1279" s="67" t="s">
        <v>1441</v>
      </c>
      <c r="G1279" s="68">
        <v>1.8599999999999998E-2</v>
      </c>
      <c r="H1279" s="64"/>
    </row>
    <row r="1280" spans="1:8" x14ac:dyDescent="0.25">
      <c r="A1280" s="65">
        <v>44252</v>
      </c>
      <c r="B1280" s="66">
        <v>15097.35</v>
      </c>
      <c r="C1280" s="66">
        <v>15079.85</v>
      </c>
      <c r="D1280" s="66">
        <v>15176.5</v>
      </c>
      <c r="E1280" s="66">
        <v>15065.35</v>
      </c>
      <c r="F1280" s="67" t="s">
        <v>1440</v>
      </c>
      <c r="G1280" s="68">
        <v>7.7000000000000002E-3</v>
      </c>
      <c r="H1280" s="64"/>
    </row>
    <row r="1281" spans="1:8" x14ac:dyDescent="0.25">
      <c r="A1281" s="65">
        <v>44253</v>
      </c>
      <c r="B1281" s="66">
        <v>14529.15</v>
      </c>
      <c r="C1281" s="66">
        <v>14888.6</v>
      </c>
      <c r="D1281" s="66">
        <v>14919.45</v>
      </c>
      <c r="E1281" s="66">
        <v>14467.75</v>
      </c>
      <c r="F1281" s="67" t="s">
        <v>1439</v>
      </c>
      <c r="G1281" s="68">
        <v>-3.7600000000000001E-2</v>
      </c>
      <c r="H1281" s="64"/>
    </row>
    <row r="1282" spans="1:8" x14ac:dyDescent="0.25">
      <c r="A1282" s="65">
        <v>44256</v>
      </c>
      <c r="B1282" s="66">
        <v>14761.55</v>
      </c>
      <c r="C1282" s="66">
        <v>14702.5</v>
      </c>
      <c r="D1282" s="66">
        <v>14806.8</v>
      </c>
      <c r="E1282" s="66">
        <v>14638.55</v>
      </c>
      <c r="F1282" s="67" t="s">
        <v>1438</v>
      </c>
      <c r="G1282" s="68">
        <v>1.6E-2</v>
      </c>
      <c r="H1282" s="64"/>
    </row>
    <row r="1283" spans="1:8" x14ac:dyDescent="0.25">
      <c r="A1283" s="65">
        <v>44257</v>
      </c>
      <c r="B1283" s="66">
        <v>14919.1</v>
      </c>
      <c r="C1283" s="66">
        <v>14865.3</v>
      </c>
      <c r="D1283" s="66">
        <v>14959.1</v>
      </c>
      <c r="E1283" s="66">
        <v>14760.8</v>
      </c>
      <c r="F1283" s="67" t="s">
        <v>1437</v>
      </c>
      <c r="G1283" s="68">
        <v>1.0699999999999999E-2</v>
      </c>
      <c r="H1283" s="64"/>
    </row>
    <row r="1284" spans="1:8" x14ac:dyDescent="0.25">
      <c r="A1284" s="65">
        <v>44258</v>
      </c>
      <c r="B1284" s="66">
        <v>15245.6</v>
      </c>
      <c r="C1284" s="66">
        <v>15064.4</v>
      </c>
      <c r="D1284" s="66">
        <v>15273.15</v>
      </c>
      <c r="E1284" s="66">
        <v>14995.8</v>
      </c>
      <c r="F1284" s="67" t="s">
        <v>1436</v>
      </c>
      <c r="G1284" s="68">
        <v>2.1899999999999999E-2</v>
      </c>
      <c r="H1284" s="64"/>
    </row>
    <row r="1285" spans="1:8" x14ac:dyDescent="0.25">
      <c r="A1285" s="65">
        <v>44259</v>
      </c>
      <c r="B1285" s="66">
        <v>15080.75</v>
      </c>
      <c r="C1285" s="66">
        <v>15026.75</v>
      </c>
      <c r="D1285" s="66">
        <v>15202.35</v>
      </c>
      <c r="E1285" s="66">
        <v>14980.2</v>
      </c>
      <c r="F1285" s="67" t="s">
        <v>1435</v>
      </c>
      <c r="G1285" s="68">
        <v>-1.0800000000000001E-2</v>
      </c>
      <c r="H1285" s="64"/>
    </row>
    <row r="1286" spans="1:8" x14ac:dyDescent="0.25">
      <c r="A1286" s="65">
        <v>44260</v>
      </c>
      <c r="B1286" s="66">
        <v>14938.1</v>
      </c>
      <c r="C1286" s="66">
        <v>14977.95</v>
      </c>
      <c r="D1286" s="66">
        <v>15092.35</v>
      </c>
      <c r="E1286" s="66">
        <v>14862.1</v>
      </c>
      <c r="F1286" s="67" t="s">
        <v>1434</v>
      </c>
      <c r="G1286" s="68">
        <v>-9.4999999999999998E-3</v>
      </c>
      <c r="H1286" s="64"/>
    </row>
    <row r="1287" spans="1:8" x14ac:dyDescent="0.25">
      <c r="A1287" s="65">
        <v>44263</v>
      </c>
      <c r="B1287" s="66">
        <v>14956.2</v>
      </c>
      <c r="C1287" s="66">
        <v>15002.45</v>
      </c>
      <c r="D1287" s="66">
        <v>15111.15</v>
      </c>
      <c r="E1287" s="66">
        <v>14919.9</v>
      </c>
      <c r="F1287" s="67" t="s">
        <v>1433</v>
      </c>
      <c r="G1287" s="68">
        <v>1.1999999999999999E-3</v>
      </c>
      <c r="H1287" s="64"/>
    </row>
    <row r="1288" spans="1:8" x14ac:dyDescent="0.25">
      <c r="A1288" s="65">
        <v>44264</v>
      </c>
      <c r="B1288" s="66">
        <v>15098.4</v>
      </c>
      <c r="C1288" s="66">
        <v>15049.9</v>
      </c>
      <c r="D1288" s="66">
        <v>15126.85</v>
      </c>
      <c r="E1288" s="66">
        <v>14925.45</v>
      </c>
      <c r="F1288" s="67" t="s">
        <v>1432</v>
      </c>
      <c r="G1288" s="68">
        <v>9.4999999999999998E-3</v>
      </c>
      <c r="H1288" s="64"/>
    </row>
    <row r="1289" spans="1:8" x14ac:dyDescent="0.25">
      <c r="A1289" s="65">
        <v>44265</v>
      </c>
      <c r="B1289" s="66">
        <v>15174.8</v>
      </c>
      <c r="C1289" s="66">
        <v>15202.15</v>
      </c>
      <c r="D1289" s="66">
        <v>15218.45</v>
      </c>
      <c r="E1289" s="66">
        <v>15100.85</v>
      </c>
      <c r="F1289" s="67" t="s">
        <v>1431</v>
      </c>
      <c r="G1289" s="68">
        <v>5.1000000000000004E-3</v>
      </c>
      <c r="H1289" s="64"/>
    </row>
    <row r="1290" spans="1:8" x14ac:dyDescent="0.25">
      <c r="A1290" s="65">
        <v>44267</v>
      </c>
      <c r="B1290" s="66">
        <v>15030.95</v>
      </c>
      <c r="C1290" s="66">
        <v>15321.15</v>
      </c>
      <c r="D1290" s="66">
        <v>15336.3</v>
      </c>
      <c r="E1290" s="66">
        <v>14953.6</v>
      </c>
      <c r="F1290" s="67" t="s">
        <v>1430</v>
      </c>
      <c r="G1290" s="68">
        <v>-9.4999999999999998E-3</v>
      </c>
      <c r="H1290" s="64"/>
    </row>
    <row r="1291" spans="1:8" x14ac:dyDescent="0.25">
      <c r="A1291" s="65">
        <v>44270</v>
      </c>
      <c r="B1291" s="66">
        <v>14929.5</v>
      </c>
      <c r="C1291" s="66">
        <v>15048.4</v>
      </c>
      <c r="D1291" s="66">
        <v>15048.4</v>
      </c>
      <c r="E1291" s="66">
        <v>14745.85</v>
      </c>
      <c r="F1291" s="67" t="s">
        <v>1429</v>
      </c>
      <c r="G1291" s="68">
        <v>-6.7000000000000002E-3</v>
      </c>
      <c r="H1291" s="64"/>
    </row>
    <row r="1292" spans="1:8" x14ac:dyDescent="0.25">
      <c r="A1292" s="65">
        <v>44271</v>
      </c>
      <c r="B1292" s="66">
        <v>14910.45</v>
      </c>
      <c r="C1292" s="66">
        <v>14996.1</v>
      </c>
      <c r="D1292" s="66">
        <v>15051.6</v>
      </c>
      <c r="E1292" s="66">
        <v>14890.65</v>
      </c>
      <c r="F1292" s="67" t="s">
        <v>1428</v>
      </c>
      <c r="G1292" s="68">
        <v>-1.2999999999999999E-3</v>
      </c>
      <c r="H1292" s="64"/>
    </row>
    <row r="1293" spans="1:8" x14ac:dyDescent="0.25">
      <c r="A1293" s="65">
        <v>44272</v>
      </c>
      <c r="B1293" s="66">
        <v>14721.3</v>
      </c>
      <c r="C1293" s="66">
        <v>14946.55</v>
      </c>
      <c r="D1293" s="66">
        <v>14956.55</v>
      </c>
      <c r="E1293" s="66">
        <v>14696.05</v>
      </c>
      <c r="F1293" s="67" t="s">
        <v>1427</v>
      </c>
      <c r="G1293" s="68">
        <v>-1.2699999999999999E-2</v>
      </c>
      <c r="H1293" s="64"/>
    </row>
    <row r="1294" spans="1:8" x14ac:dyDescent="0.25">
      <c r="A1294" s="65">
        <v>44273</v>
      </c>
      <c r="B1294" s="66">
        <v>14557.85</v>
      </c>
      <c r="C1294" s="66">
        <v>14855.5</v>
      </c>
      <c r="D1294" s="66">
        <v>14875.2</v>
      </c>
      <c r="E1294" s="66">
        <v>14478.6</v>
      </c>
      <c r="F1294" s="67" t="s">
        <v>1426</v>
      </c>
      <c r="G1294" s="68">
        <v>-1.11E-2</v>
      </c>
      <c r="H1294" s="64"/>
    </row>
    <row r="1295" spans="1:8" x14ac:dyDescent="0.25">
      <c r="A1295" s="65">
        <v>44274</v>
      </c>
      <c r="B1295" s="66">
        <v>14744</v>
      </c>
      <c r="C1295" s="66">
        <v>14471.15</v>
      </c>
      <c r="D1295" s="66">
        <v>14788.25</v>
      </c>
      <c r="E1295" s="66">
        <v>14350.1</v>
      </c>
      <c r="F1295" s="67" t="s">
        <v>1425</v>
      </c>
      <c r="G1295" s="68">
        <v>1.2800000000000001E-2</v>
      </c>
      <c r="H1295" s="64"/>
    </row>
    <row r="1296" spans="1:8" x14ac:dyDescent="0.25">
      <c r="A1296" s="65">
        <v>44277</v>
      </c>
      <c r="B1296" s="66">
        <v>14736.4</v>
      </c>
      <c r="C1296" s="66">
        <v>14736.3</v>
      </c>
      <c r="D1296" s="66">
        <v>14763.9</v>
      </c>
      <c r="E1296" s="66">
        <v>14597.85</v>
      </c>
      <c r="F1296" s="67" t="s">
        <v>1424</v>
      </c>
      <c r="G1296" s="68">
        <v>-5.0000000000000001E-4</v>
      </c>
      <c r="H1296" s="64"/>
    </row>
    <row r="1297" spans="1:8" x14ac:dyDescent="0.25">
      <c r="A1297" s="65">
        <v>44278</v>
      </c>
      <c r="B1297" s="66">
        <v>14814.75</v>
      </c>
      <c r="C1297" s="66">
        <v>14768.55</v>
      </c>
      <c r="D1297" s="66">
        <v>14878.6</v>
      </c>
      <c r="E1297" s="66">
        <v>14707</v>
      </c>
      <c r="F1297" s="67" t="s">
        <v>1423</v>
      </c>
      <c r="G1297" s="68">
        <v>5.3E-3</v>
      </c>
      <c r="H1297" s="64"/>
    </row>
    <row r="1298" spans="1:8" x14ac:dyDescent="0.25">
      <c r="A1298" s="65">
        <v>44279</v>
      </c>
      <c r="B1298" s="66">
        <v>14549.4</v>
      </c>
      <c r="C1298" s="66">
        <v>14712.45</v>
      </c>
      <c r="D1298" s="66">
        <v>14752.35</v>
      </c>
      <c r="E1298" s="66">
        <v>14535</v>
      </c>
      <c r="F1298" s="67" t="s">
        <v>1422</v>
      </c>
      <c r="G1298" s="68">
        <v>-1.7899999999999999E-2</v>
      </c>
      <c r="H1298" s="64"/>
    </row>
    <row r="1299" spans="1:8" x14ac:dyDescent="0.25">
      <c r="A1299" s="65">
        <v>44280</v>
      </c>
      <c r="B1299" s="66">
        <v>14324.9</v>
      </c>
      <c r="C1299" s="66">
        <v>14570.9</v>
      </c>
      <c r="D1299" s="66">
        <v>14575.6</v>
      </c>
      <c r="E1299" s="66">
        <v>14264.4</v>
      </c>
      <c r="F1299" s="67" t="s">
        <v>1421</v>
      </c>
      <c r="G1299" s="68">
        <v>-1.54E-2</v>
      </c>
      <c r="H1299" s="64"/>
    </row>
    <row r="1300" spans="1:8" x14ac:dyDescent="0.25">
      <c r="A1300" s="65">
        <v>44281</v>
      </c>
      <c r="B1300" s="66">
        <v>14507.3</v>
      </c>
      <c r="C1300" s="66">
        <v>14506.3</v>
      </c>
      <c r="D1300" s="66">
        <v>14572.9</v>
      </c>
      <c r="E1300" s="66">
        <v>14414.25</v>
      </c>
      <c r="F1300" s="67" t="s">
        <v>1420</v>
      </c>
      <c r="G1300" s="68">
        <v>1.2699999999999999E-2</v>
      </c>
      <c r="H1300" s="64"/>
    </row>
    <row r="1301" spans="1:8" x14ac:dyDescent="0.25">
      <c r="A1301" s="65">
        <v>44285</v>
      </c>
      <c r="B1301" s="66">
        <v>14845.1</v>
      </c>
      <c r="C1301" s="66">
        <v>14628.5</v>
      </c>
      <c r="D1301" s="66">
        <v>14876.3</v>
      </c>
      <c r="E1301" s="66">
        <v>14617.6</v>
      </c>
      <c r="F1301" s="67" t="s">
        <v>1419</v>
      </c>
      <c r="G1301" s="68">
        <v>2.3300000000000001E-2</v>
      </c>
      <c r="H1301" s="64"/>
    </row>
    <row r="1302" spans="1:8" x14ac:dyDescent="0.25">
      <c r="A1302" s="65">
        <v>44286</v>
      </c>
      <c r="B1302" s="66">
        <v>14690.7</v>
      </c>
      <c r="C1302" s="66">
        <v>14811.85</v>
      </c>
      <c r="D1302" s="66">
        <v>14813.75</v>
      </c>
      <c r="E1302" s="66">
        <v>14670.25</v>
      </c>
      <c r="F1302" s="67" t="s">
        <v>1418</v>
      </c>
      <c r="G1302" s="68">
        <v>-1.04E-2</v>
      </c>
      <c r="H1302" s="64"/>
    </row>
    <row r="1303" spans="1:8" x14ac:dyDescent="0.25">
      <c r="A1303" s="65">
        <v>44287</v>
      </c>
      <c r="B1303" s="66">
        <v>14867.35</v>
      </c>
      <c r="C1303" s="66">
        <v>14798.4</v>
      </c>
      <c r="D1303" s="66">
        <v>14883.2</v>
      </c>
      <c r="E1303" s="66">
        <v>14692.45</v>
      </c>
      <c r="F1303" s="67" t="s">
        <v>1417</v>
      </c>
      <c r="G1303" s="68">
        <v>1.2E-2</v>
      </c>
      <c r="H1303" s="64"/>
    </row>
    <row r="1304" spans="1:8" x14ac:dyDescent="0.25">
      <c r="A1304" s="65">
        <v>44291</v>
      </c>
      <c r="B1304" s="66">
        <v>14637.8</v>
      </c>
      <c r="C1304" s="66">
        <v>14837.7</v>
      </c>
      <c r="D1304" s="66">
        <v>14849.85</v>
      </c>
      <c r="E1304" s="66">
        <v>14459.5</v>
      </c>
      <c r="F1304" s="67" t="s">
        <v>1416</v>
      </c>
      <c r="G1304" s="68">
        <v>-1.54E-2</v>
      </c>
      <c r="H1304" s="64"/>
    </row>
    <row r="1305" spans="1:8" x14ac:dyDescent="0.25">
      <c r="A1305" s="65">
        <v>44292</v>
      </c>
      <c r="B1305" s="66">
        <v>14683.5</v>
      </c>
      <c r="C1305" s="66">
        <v>14737</v>
      </c>
      <c r="D1305" s="66">
        <v>14779.1</v>
      </c>
      <c r="E1305" s="66">
        <v>14573.9</v>
      </c>
      <c r="F1305" s="67" t="s">
        <v>1415</v>
      </c>
      <c r="G1305" s="68">
        <v>3.0999999999999999E-3</v>
      </c>
      <c r="H1305" s="64"/>
    </row>
    <row r="1306" spans="1:8" x14ac:dyDescent="0.25">
      <c r="A1306" s="65">
        <v>44293</v>
      </c>
      <c r="B1306" s="66">
        <v>14819.05</v>
      </c>
      <c r="C1306" s="66">
        <v>14716.45</v>
      </c>
      <c r="D1306" s="66">
        <v>14879.8</v>
      </c>
      <c r="E1306" s="66">
        <v>14649.85</v>
      </c>
      <c r="F1306" s="67" t="s">
        <v>1414</v>
      </c>
      <c r="G1306" s="68">
        <v>9.1999999999999998E-3</v>
      </c>
      <c r="H1306" s="64"/>
    </row>
    <row r="1307" spans="1:8" x14ac:dyDescent="0.25">
      <c r="A1307" s="65">
        <v>44294</v>
      </c>
      <c r="B1307" s="66">
        <v>14873.8</v>
      </c>
      <c r="C1307" s="66">
        <v>14875.65</v>
      </c>
      <c r="D1307" s="66">
        <v>14984.15</v>
      </c>
      <c r="E1307" s="66">
        <v>14821.1</v>
      </c>
      <c r="F1307" s="67" t="s">
        <v>1413</v>
      </c>
      <c r="G1307" s="68">
        <v>3.7000000000000002E-3</v>
      </c>
      <c r="H1307" s="64"/>
    </row>
    <row r="1308" spans="1:8" x14ac:dyDescent="0.25">
      <c r="A1308" s="65">
        <v>44295</v>
      </c>
      <c r="B1308" s="66">
        <v>14834.85</v>
      </c>
      <c r="C1308" s="66">
        <v>14882.65</v>
      </c>
      <c r="D1308" s="66">
        <v>14918.45</v>
      </c>
      <c r="E1308" s="66">
        <v>14785.65</v>
      </c>
      <c r="F1308" s="67" t="s">
        <v>1412</v>
      </c>
      <c r="G1308" s="68">
        <v>-2.5999999999999999E-3</v>
      </c>
      <c r="H1308" s="64"/>
    </row>
    <row r="1309" spans="1:8" x14ac:dyDescent="0.25">
      <c r="A1309" s="65">
        <v>44298</v>
      </c>
      <c r="B1309" s="66">
        <v>14310.8</v>
      </c>
      <c r="C1309" s="66">
        <v>14644.65</v>
      </c>
      <c r="D1309" s="66">
        <v>14652.5</v>
      </c>
      <c r="E1309" s="66">
        <v>14248.7</v>
      </c>
      <c r="F1309" s="67" t="s">
        <v>1411</v>
      </c>
      <c r="G1309" s="68">
        <v>-3.5299999999999998E-2</v>
      </c>
      <c r="H1309" s="64"/>
    </row>
    <row r="1310" spans="1:8" x14ac:dyDescent="0.25">
      <c r="A1310" s="65">
        <v>44299</v>
      </c>
      <c r="B1310" s="66">
        <v>14504.8</v>
      </c>
      <c r="C1310" s="66">
        <v>14364.9</v>
      </c>
      <c r="D1310" s="66">
        <v>14528.9</v>
      </c>
      <c r="E1310" s="66">
        <v>14274.9</v>
      </c>
      <c r="F1310" s="67" t="s">
        <v>1410</v>
      </c>
      <c r="G1310" s="68">
        <v>1.3599999999999999E-2</v>
      </c>
      <c r="H1310" s="64"/>
    </row>
    <row r="1311" spans="1:8" x14ac:dyDescent="0.25">
      <c r="A1311" s="65">
        <v>44301</v>
      </c>
      <c r="B1311" s="66">
        <v>14581.45</v>
      </c>
      <c r="C1311" s="66">
        <v>14522.4</v>
      </c>
      <c r="D1311" s="66">
        <v>14597.55</v>
      </c>
      <c r="E1311" s="66">
        <v>14353.2</v>
      </c>
      <c r="F1311" s="67" t="s">
        <v>1409</v>
      </c>
      <c r="G1311" s="68">
        <v>5.3E-3</v>
      </c>
      <c r="H1311" s="64"/>
    </row>
    <row r="1312" spans="1:8" x14ac:dyDescent="0.25">
      <c r="A1312" s="65">
        <v>44302</v>
      </c>
      <c r="B1312" s="66">
        <v>14617.85</v>
      </c>
      <c r="C1312" s="66">
        <v>14599.6</v>
      </c>
      <c r="D1312" s="66">
        <v>14697.7</v>
      </c>
      <c r="E1312" s="66">
        <v>14559</v>
      </c>
      <c r="F1312" s="67" t="s">
        <v>1408</v>
      </c>
      <c r="G1312" s="68">
        <v>2.5000000000000001E-3</v>
      </c>
      <c r="H1312" s="64"/>
    </row>
    <row r="1313" spans="1:8" x14ac:dyDescent="0.25">
      <c r="A1313" s="65">
        <v>44305</v>
      </c>
      <c r="B1313" s="66">
        <v>14359.45</v>
      </c>
      <c r="C1313" s="66">
        <v>14306.6</v>
      </c>
      <c r="D1313" s="66">
        <v>14382.3</v>
      </c>
      <c r="E1313" s="66">
        <v>14191.4</v>
      </c>
      <c r="F1313" s="67" t="s">
        <v>1407</v>
      </c>
      <c r="G1313" s="68">
        <v>-1.77E-2</v>
      </c>
      <c r="H1313" s="64"/>
    </row>
    <row r="1314" spans="1:8" x14ac:dyDescent="0.25">
      <c r="A1314" s="65">
        <v>44306</v>
      </c>
      <c r="B1314" s="66">
        <v>14296.4</v>
      </c>
      <c r="C1314" s="66">
        <v>14526.7</v>
      </c>
      <c r="D1314" s="66">
        <v>14526.95</v>
      </c>
      <c r="E1314" s="66">
        <v>14207.3</v>
      </c>
      <c r="F1314" s="67" t="s">
        <v>1406</v>
      </c>
      <c r="G1314" s="68">
        <v>-4.4000000000000003E-3</v>
      </c>
      <c r="H1314" s="64"/>
    </row>
    <row r="1315" spans="1:8" x14ac:dyDescent="0.25">
      <c r="A1315" s="65">
        <v>44308</v>
      </c>
      <c r="B1315" s="66">
        <v>14406.15</v>
      </c>
      <c r="C1315" s="66">
        <v>14219.15</v>
      </c>
      <c r="D1315" s="66">
        <v>14424.75</v>
      </c>
      <c r="E1315" s="66">
        <v>14151.4</v>
      </c>
      <c r="F1315" s="67" t="s">
        <v>1405</v>
      </c>
      <c r="G1315" s="68">
        <v>7.7000000000000002E-3</v>
      </c>
      <c r="H1315" s="64"/>
    </row>
    <row r="1316" spans="1:8" x14ac:dyDescent="0.25">
      <c r="A1316" s="65">
        <v>44309</v>
      </c>
      <c r="B1316" s="66">
        <v>14341.35</v>
      </c>
      <c r="C1316" s="66">
        <v>14326.35</v>
      </c>
      <c r="D1316" s="66">
        <v>14461.15</v>
      </c>
      <c r="E1316" s="66">
        <v>14273.3</v>
      </c>
      <c r="F1316" s="67" t="s">
        <v>1404</v>
      </c>
      <c r="G1316" s="68">
        <v>-4.4999999999999997E-3</v>
      </c>
      <c r="H1316" s="64"/>
    </row>
    <row r="1317" spans="1:8" x14ac:dyDescent="0.25">
      <c r="A1317" s="65">
        <v>44312</v>
      </c>
      <c r="B1317" s="66">
        <v>14485</v>
      </c>
      <c r="C1317" s="66">
        <v>14449.45</v>
      </c>
      <c r="D1317" s="66">
        <v>14557.5</v>
      </c>
      <c r="E1317" s="66">
        <v>14421.3</v>
      </c>
      <c r="F1317" s="67" t="s">
        <v>1403</v>
      </c>
      <c r="G1317" s="68">
        <v>0.01</v>
      </c>
      <c r="H1317" s="64"/>
    </row>
    <row r="1318" spans="1:8" x14ac:dyDescent="0.25">
      <c r="A1318" s="65">
        <v>44313</v>
      </c>
      <c r="B1318" s="66">
        <v>14653.05</v>
      </c>
      <c r="C1318" s="66">
        <v>14493.8</v>
      </c>
      <c r="D1318" s="66">
        <v>14667.55</v>
      </c>
      <c r="E1318" s="66">
        <v>14484.85</v>
      </c>
      <c r="F1318" s="67" t="s">
        <v>1402</v>
      </c>
      <c r="G1318" s="68">
        <v>1.1599999999999999E-2</v>
      </c>
      <c r="H1318" s="64"/>
    </row>
    <row r="1319" spans="1:8" x14ac:dyDescent="0.25">
      <c r="A1319" s="65">
        <v>44314</v>
      </c>
      <c r="B1319" s="66">
        <v>14864.55</v>
      </c>
      <c r="C1319" s="66">
        <v>14710.5</v>
      </c>
      <c r="D1319" s="66">
        <v>14890.25</v>
      </c>
      <c r="E1319" s="66">
        <v>14694.95</v>
      </c>
      <c r="F1319" s="67" t="s">
        <v>1401</v>
      </c>
      <c r="G1319" s="68">
        <v>1.44E-2</v>
      </c>
      <c r="H1319" s="64"/>
    </row>
    <row r="1320" spans="1:8" x14ac:dyDescent="0.25">
      <c r="A1320" s="65">
        <v>44315</v>
      </c>
      <c r="B1320" s="66">
        <v>14894.9</v>
      </c>
      <c r="C1320" s="66">
        <v>14979</v>
      </c>
      <c r="D1320" s="66">
        <v>15044.35</v>
      </c>
      <c r="E1320" s="66">
        <v>14814.45</v>
      </c>
      <c r="F1320" s="67" t="s">
        <v>1400</v>
      </c>
      <c r="G1320" s="68">
        <v>2E-3</v>
      </c>
      <c r="H1320" s="64"/>
    </row>
    <row r="1321" spans="1:8" x14ac:dyDescent="0.25">
      <c r="A1321" s="65">
        <v>44316</v>
      </c>
      <c r="B1321" s="66">
        <v>14631.1</v>
      </c>
      <c r="C1321" s="66">
        <v>14747.35</v>
      </c>
      <c r="D1321" s="66">
        <v>14855.45</v>
      </c>
      <c r="E1321" s="66">
        <v>14601.7</v>
      </c>
      <c r="F1321" s="67" t="s">
        <v>1399</v>
      </c>
      <c r="G1321" s="68">
        <v>-1.77E-2</v>
      </c>
      <c r="H1321" s="64"/>
    </row>
    <row r="1322" spans="1:8" x14ac:dyDescent="0.25">
      <c r="A1322" s="65">
        <v>44319</v>
      </c>
      <c r="B1322" s="66">
        <v>14634.15</v>
      </c>
      <c r="C1322" s="66">
        <v>14481.05</v>
      </c>
      <c r="D1322" s="66">
        <v>14673.85</v>
      </c>
      <c r="E1322" s="66">
        <v>14416.25</v>
      </c>
      <c r="F1322" s="67" t="s">
        <v>1398</v>
      </c>
      <c r="G1322" s="68">
        <v>2.0000000000000001E-4</v>
      </c>
      <c r="H1322" s="64"/>
    </row>
    <row r="1323" spans="1:8" x14ac:dyDescent="0.25">
      <c r="A1323" s="65">
        <v>44320</v>
      </c>
      <c r="B1323" s="66">
        <v>14496.5</v>
      </c>
      <c r="C1323" s="66">
        <v>14687.25</v>
      </c>
      <c r="D1323" s="66">
        <v>14723.4</v>
      </c>
      <c r="E1323" s="66">
        <v>14461.5</v>
      </c>
      <c r="F1323" s="67" t="s">
        <v>1397</v>
      </c>
      <c r="G1323" s="68">
        <v>-9.4000000000000004E-3</v>
      </c>
      <c r="H1323" s="64"/>
    </row>
    <row r="1324" spans="1:8" x14ac:dyDescent="0.25">
      <c r="A1324" s="65">
        <v>44321</v>
      </c>
      <c r="B1324" s="66">
        <v>14617.85</v>
      </c>
      <c r="C1324" s="66">
        <v>14604.15</v>
      </c>
      <c r="D1324" s="66">
        <v>14637.9</v>
      </c>
      <c r="E1324" s="66">
        <v>14506.6</v>
      </c>
      <c r="F1324" s="67" t="s">
        <v>1396</v>
      </c>
      <c r="G1324" s="68">
        <v>8.3999999999999995E-3</v>
      </c>
      <c r="H1324" s="64"/>
    </row>
    <row r="1325" spans="1:8" x14ac:dyDescent="0.25">
      <c r="A1325" s="65">
        <v>44322</v>
      </c>
      <c r="B1325" s="66">
        <v>14724.8</v>
      </c>
      <c r="C1325" s="66">
        <v>14668.35</v>
      </c>
      <c r="D1325" s="66">
        <v>14743.9</v>
      </c>
      <c r="E1325" s="66">
        <v>14611.5</v>
      </c>
      <c r="F1325" s="67" t="s">
        <v>1395</v>
      </c>
      <c r="G1325" s="68">
        <v>7.3000000000000001E-3</v>
      </c>
      <c r="H1325" s="64"/>
    </row>
    <row r="1326" spans="1:8" x14ac:dyDescent="0.25">
      <c r="A1326" s="65">
        <v>44323</v>
      </c>
      <c r="B1326" s="66">
        <v>14823.15</v>
      </c>
      <c r="C1326" s="66">
        <v>14816.85</v>
      </c>
      <c r="D1326" s="66">
        <v>14863.05</v>
      </c>
      <c r="E1326" s="66">
        <v>14765.5</v>
      </c>
      <c r="F1326" s="67" t="s">
        <v>1394</v>
      </c>
      <c r="G1326" s="68">
        <v>6.7000000000000002E-3</v>
      </c>
      <c r="H1326" s="64"/>
    </row>
    <row r="1327" spans="1:8" x14ac:dyDescent="0.25">
      <c r="A1327" s="65">
        <v>44326</v>
      </c>
      <c r="B1327" s="66">
        <v>14942.35</v>
      </c>
      <c r="C1327" s="66">
        <v>14928.25</v>
      </c>
      <c r="D1327" s="66">
        <v>14966.9</v>
      </c>
      <c r="E1327" s="66">
        <v>14892.5</v>
      </c>
      <c r="F1327" s="67" t="s">
        <v>1393</v>
      </c>
      <c r="G1327" s="68">
        <v>8.0000000000000002E-3</v>
      </c>
      <c r="H1327" s="64"/>
    </row>
    <row r="1328" spans="1:8" x14ac:dyDescent="0.25">
      <c r="A1328" s="65">
        <v>44327</v>
      </c>
      <c r="B1328" s="66">
        <v>14850.75</v>
      </c>
      <c r="C1328" s="66">
        <v>14789.7</v>
      </c>
      <c r="D1328" s="66">
        <v>14900</v>
      </c>
      <c r="E1328" s="66">
        <v>14771.4</v>
      </c>
      <c r="F1328" s="67" t="s">
        <v>1392</v>
      </c>
      <c r="G1328" s="68">
        <v>-6.1000000000000004E-3</v>
      </c>
      <c r="H1328" s="64"/>
    </row>
    <row r="1329" spans="1:8" x14ac:dyDescent="0.25">
      <c r="A1329" s="65">
        <v>44328</v>
      </c>
      <c r="B1329" s="66">
        <v>14696.5</v>
      </c>
      <c r="C1329" s="66">
        <v>14823.55</v>
      </c>
      <c r="D1329" s="66">
        <v>14824.05</v>
      </c>
      <c r="E1329" s="66">
        <v>14649.7</v>
      </c>
      <c r="F1329" s="67" t="s">
        <v>1391</v>
      </c>
      <c r="G1329" s="68">
        <v>-1.04E-2</v>
      </c>
      <c r="H1329" s="64"/>
    </row>
    <row r="1330" spans="1:8" x14ac:dyDescent="0.25">
      <c r="A1330" s="65">
        <v>44330</v>
      </c>
      <c r="B1330" s="66">
        <v>14677.8</v>
      </c>
      <c r="C1330" s="66">
        <v>14749.4</v>
      </c>
      <c r="D1330" s="66">
        <v>14749.65</v>
      </c>
      <c r="E1330" s="66">
        <v>14591.9</v>
      </c>
      <c r="F1330" s="67" t="s">
        <v>1390</v>
      </c>
      <c r="G1330" s="68">
        <v>-1.2999999999999999E-3</v>
      </c>
      <c r="H1330" s="64"/>
    </row>
    <row r="1331" spans="1:8" x14ac:dyDescent="0.25">
      <c r="A1331" s="65">
        <v>44333</v>
      </c>
      <c r="B1331" s="66">
        <v>14923.15</v>
      </c>
      <c r="C1331" s="66">
        <v>14756.25</v>
      </c>
      <c r="D1331" s="66">
        <v>14938</v>
      </c>
      <c r="E1331" s="66">
        <v>14725.35</v>
      </c>
      <c r="F1331" s="67" t="s">
        <v>1389</v>
      </c>
      <c r="G1331" s="68">
        <v>1.67E-2</v>
      </c>
      <c r="H1331" s="64"/>
    </row>
    <row r="1332" spans="1:8" x14ac:dyDescent="0.25">
      <c r="A1332" s="65">
        <v>44334</v>
      </c>
      <c r="B1332" s="66">
        <v>15108.1</v>
      </c>
      <c r="C1332" s="66">
        <v>15067.2</v>
      </c>
      <c r="D1332" s="66">
        <v>15137.25</v>
      </c>
      <c r="E1332" s="66">
        <v>15043.7</v>
      </c>
      <c r="F1332" s="67" t="s">
        <v>1388</v>
      </c>
      <c r="G1332" s="68">
        <v>1.24E-2</v>
      </c>
      <c r="H1332" s="64"/>
    </row>
    <row r="1333" spans="1:8" x14ac:dyDescent="0.25">
      <c r="A1333" s="65">
        <v>44335</v>
      </c>
      <c r="B1333" s="66">
        <v>15030.15</v>
      </c>
      <c r="C1333" s="66">
        <v>15058.6</v>
      </c>
      <c r="D1333" s="66">
        <v>15133.4</v>
      </c>
      <c r="E1333" s="66">
        <v>15008.85</v>
      </c>
      <c r="F1333" s="67" t="s">
        <v>1387</v>
      </c>
      <c r="G1333" s="68">
        <v>-5.1999999999999998E-3</v>
      </c>
      <c r="H1333" s="64"/>
    </row>
    <row r="1334" spans="1:8" x14ac:dyDescent="0.25">
      <c r="A1334" s="65">
        <v>44336</v>
      </c>
      <c r="B1334" s="66">
        <v>14906.05</v>
      </c>
      <c r="C1334" s="66">
        <v>15042.6</v>
      </c>
      <c r="D1334" s="66">
        <v>15069.8</v>
      </c>
      <c r="E1334" s="66">
        <v>14884.9</v>
      </c>
      <c r="F1334" s="67" t="s">
        <v>1386</v>
      </c>
      <c r="G1334" s="68">
        <v>-8.3000000000000001E-3</v>
      </c>
      <c r="H1334" s="64"/>
    </row>
    <row r="1335" spans="1:8" x14ac:dyDescent="0.25">
      <c r="A1335" s="65">
        <v>44337</v>
      </c>
      <c r="B1335" s="66">
        <v>15175.3</v>
      </c>
      <c r="C1335" s="66">
        <v>14987.8</v>
      </c>
      <c r="D1335" s="66">
        <v>15190</v>
      </c>
      <c r="E1335" s="66">
        <v>14985.85</v>
      </c>
      <c r="F1335" s="67" t="s">
        <v>1385</v>
      </c>
      <c r="G1335" s="68">
        <v>1.8100000000000002E-2</v>
      </c>
      <c r="H1335" s="64"/>
    </row>
    <row r="1336" spans="1:8" x14ac:dyDescent="0.25">
      <c r="A1336" s="65">
        <v>44340</v>
      </c>
      <c r="B1336" s="66">
        <v>15197.7</v>
      </c>
      <c r="C1336" s="66">
        <v>15211.35</v>
      </c>
      <c r="D1336" s="66">
        <v>15256.25</v>
      </c>
      <c r="E1336" s="66">
        <v>15145.45</v>
      </c>
      <c r="F1336" s="67" t="s">
        <v>1384</v>
      </c>
      <c r="G1336" s="68">
        <v>1.5E-3</v>
      </c>
      <c r="H1336" s="64"/>
    </row>
    <row r="1337" spans="1:8" x14ac:dyDescent="0.25">
      <c r="A1337" s="65">
        <v>44341</v>
      </c>
      <c r="B1337" s="66">
        <v>15208.45</v>
      </c>
      <c r="C1337" s="66">
        <v>15291.75</v>
      </c>
      <c r="D1337" s="66">
        <v>15293.85</v>
      </c>
      <c r="E1337" s="66">
        <v>15163.4</v>
      </c>
      <c r="F1337" s="67" t="s">
        <v>1383</v>
      </c>
      <c r="G1337" s="68">
        <v>6.9999999999999999E-4</v>
      </c>
      <c r="H1337" s="64"/>
    </row>
    <row r="1338" spans="1:8" x14ac:dyDescent="0.25">
      <c r="A1338" s="65">
        <v>44342</v>
      </c>
      <c r="B1338" s="66">
        <v>15301.45</v>
      </c>
      <c r="C1338" s="66">
        <v>15257.05</v>
      </c>
      <c r="D1338" s="66">
        <v>15319.9</v>
      </c>
      <c r="E1338" s="66">
        <v>15194.95</v>
      </c>
      <c r="F1338" s="67" t="s">
        <v>1382</v>
      </c>
      <c r="G1338" s="68">
        <v>6.1000000000000004E-3</v>
      </c>
      <c r="H1338" s="64"/>
    </row>
    <row r="1339" spans="1:8" x14ac:dyDescent="0.25">
      <c r="A1339" s="65">
        <v>44343</v>
      </c>
      <c r="B1339" s="66">
        <v>15337.85</v>
      </c>
      <c r="C1339" s="66">
        <v>15323.95</v>
      </c>
      <c r="D1339" s="66">
        <v>15384.55</v>
      </c>
      <c r="E1339" s="66">
        <v>15272.5</v>
      </c>
      <c r="F1339" s="67" t="s">
        <v>1381</v>
      </c>
      <c r="G1339" s="68">
        <v>2.3999999999999998E-3</v>
      </c>
      <c r="H1339" s="64"/>
    </row>
    <row r="1340" spans="1:8" x14ac:dyDescent="0.25">
      <c r="A1340" s="65">
        <v>44344</v>
      </c>
      <c r="B1340" s="66">
        <v>15435.65</v>
      </c>
      <c r="C1340" s="66">
        <v>15421.2</v>
      </c>
      <c r="D1340" s="66">
        <v>15469.65</v>
      </c>
      <c r="E1340" s="66">
        <v>15394.75</v>
      </c>
      <c r="F1340" s="67" t="s">
        <v>1380</v>
      </c>
      <c r="G1340" s="68">
        <v>6.4000000000000003E-3</v>
      </c>
      <c r="H1340" s="64"/>
    </row>
    <row r="1341" spans="1:8" x14ac:dyDescent="0.25">
      <c r="A1341" s="65">
        <v>44347</v>
      </c>
      <c r="B1341" s="66">
        <v>15582.8</v>
      </c>
      <c r="C1341" s="66">
        <v>15437.75</v>
      </c>
      <c r="D1341" s="66">
        <v>15606.35</v>
      </c>
      <c r="E1341" s="66">
        <v>15374</v>
      </c>
      <c r="F1341" s="67" t="s">
        <v>1379</v>
      </c>
      <c r="G1341" s="68">
        <v>9.4999999999999998E-3</v>
      </c>
      <c r="H1341" s="64"/>
    </row>
    <row r="1342" spans="1:8" x14ac:dyDescent="0.25">
      <c r="A1342" s="65">
        <v>44348</v>
      </c>
      <c r="B1342" s="66">
        <v>15574.85</v>
      </c>
      <c r="C1342" s="66">
        <v>15629.65</v>
      </c>
      <c r="D1342" s="66">
        <v>15660.75</v>
      </c>
      <c r="E1342" s="66">
        <v>15528.3</v>
      </c>
      <c r="F1342" s="67" t="s">
        <v>1378</v>
      </c>
      <c r="G1342" s="68">
        <v>-5.0000000000000001E-4</v>
      </c>
      <c r="H1342" s="64"/>
    </row>
    <row r="1343" spans="1:8" x14ac:dyDescent="0.25">
      <c r="A1343" s="65">
        <v>44349</v>
      </c>
      <c r="B1343" s="66">
        <v>15576.2</v>
      </c>
      <c r="C1343" s="66">
        <v>15520.35</v>
      </c>
      <c r="D1343" s="66">
        <v>15597.45</v>
      </c>
      <c r="E1343" s="66">
        <v>15459.85</v>
      </c>
      <c r="F1343" s="67" t="s">
        <v>1377</v>
      </c>
      <c r="G1343" s="68">
        <v>1E-4</v>
      </c>
      <c r="H1343" s="64"/>
    </row>
    <row r="1344" spans="1:8" x14ac:dyDescent="0.25">
      <c r="A1344" s="65">
        <v>44350</v>
      </c>
      <c r="B1344" s="66">
        <v>15690.35</v>
      </c>
      <c r="C1344" s="66">
        <v>15655.55</v>
      </c>
      <c r="D1344" s="66">
        <v>15705.1</v>
      </c>
      <c r="E1344" s="66">
        <v>15611</v>
      </c>
      <c r="F1344" s="67" t="s">
        <v>1376</v>
      </c>
      <c r="G1344" s="68">
        <v>7.3000000000000001E-3</v>
      </c>
      <c r="H1344" s="64"/>
    </row>
    <row r="1345" spans="1:8" x14ac:dyDescent="0.25">
      <c r="A1345" s="65">
        <v>44351</v>
      </c>
      <c r="B1345" s="66">
        <v>15670.25</v>
      </c>
      <c r="C1345" s="66">
        <v>15712.5</v>
      </c>
      <c r="D1345" s="66">
        <v>15733.6</v>
      </c>
      <c r="E1345" s="66">
        <v>15622.35</v>
      </c>
      <c r="F1345" s="67" t="s">
        <v>1375</v>
      </c>
      <c r="G1345" s="68">
        <v>-1.2999999999999999E-3</v>
      </c>
      <c r="H1345" s="64"/>
    </row>
    <row r="1346" spans="1:8" x14ac:dyDescent="0.25">
      <c r="A1346" s="65">
        <v>44354</v>
      </c>
      <c r="B1346" s="66">
        <v>15751.65</v>
      </c>
      <c r="C1346" s="66">
        <v>15725.1</v>
      </c>
      <c r="D1346" s="66">
        <v>15773.45</v>
      </c>
      <c r="E1346" s="66">
        <v>15678.1</v>
      </c>
      <c r="F1346" s="67" t="s">
        <v>1374</v>
      </c>
      <c r="G1346" s="68">
        <v>5.1999999999999998E-3</v>
      </c>
      <c r="H1346" s="64"/>
    </row>
    <row r="1347" spans="1:8" x14ac:dyDescent="0.25">
      <c r="A1347" s="65">
        <v>44355</v>
      </c>
      <c r="B1347" s="66">
        <v>15740.1</v>
      </c>
      <c r="C1347" s="66">
        <v>15773.9</v>
      </c>
      <c r="D1347" s="66">
        <v>15778.8</v>
      </c>
      <c r="E1347" s="66">
        <v>15680</v>
      </c>
      <c r="F1347" s="67" t="s">
        <v>1373</v>
      </c>
      <c r="G1347" s="68">
        <v>-6.9999999999999999E-4</v>
      </c>
      <c r="H1347" s="64"/>
    </row>
    <row r="1348" spans="1:8" x14ac:dyDescent="0.25">
      <c r="A1348" s="65">
        <v>44356</v>
      </c>
      <c r="B1348" s="66">
        <v>15635.35</v>
      </c>
      <c r="C1348" s="66">
        <v>15766.3</v>
      </c>
      <c r="D1348" s="66">
        <v>15800.45</v>
      </c>
      <c r="E1348" s="66">
        <v>15566.9</v>
      </c>
      <c r="F1348" s="67" t="s">
        <v>1372</v>
      </c>
      <c r="G1348" s="68">
        <v>-6.7000000000000002E-3</v>
      </c>
      <c r="H1348" s="64"/>
    </row>
    <row r="1349" spans="1:8" x14ac:dyDescent="0.25">
      <c r="A1349" s="65">
        <v>44357</v>
      </c>
      <c r="B1349" s="66">
        <v>15737.75</v>
      </c>
      <c r="C1349" s="66">
        <v>15692.1</v>
      </c>
      <c r="D1349" s="66">
        <v>15751.25</v>
      </c>
      <c r="E1349" s="66">
        <v>15648.5</v>
      </c>
      <c r="F1349" s="67" t="s">
        <v>1371</v>
      </c>
      <c r="G1349" s="68">
        <v>6.4999999999999997E-3</v>
      </c>
      <c r="H1349" s="64"/>
    </row>
    <row r="1350" spans="1:8" x14ac:dyDescent="0.25">
      <c r="A1350" s="65">
        <v>44358</v>
      </c>
      <c r="B1350" s="66">
        <v>15799.35</v>
      </c>
      <c r="C1350" s="66">
        <v>15796.45</v>
      </c>
      <c r="D1350" s="66">
        <v>15835.55</v>
      </c>
      <c r="E1350" s="66">
        <v>15749.8</v>
      </c>
      <c r="F1350" s="67" t="s">
        <v>1370</v>
      </c>
      <c r="G1350" s="68">
        <v>3.8999999999999998E-3</v>
      </c>
      <c r="H1350" s="64"/>
    </row>
    <row r="1351" spans="1:8" x14ac:dyDescent="0.25">
      <c r="A1351" s="65">
        <v>44361</v>
      </c>
      <c r="B1351" s="66">
        <v>15811.85</v>
      </c>
      <c r="C1351" s="66">
        <v>15791.4</v>
      </c>
      <c r="D1351" s="66">
        <v>15823.05</v>
      </c>
      <c r="E1351" s="66">
        <v>15606.5</v>
      </c>
      <c r="F1351" s="67" t="s">
        <v>1369</v>
      </c>
      <c r="G1351" s="68">
        <v>8.0000000000000004E-4</v>
      </c>
      <c r="H1351" s="64"/>
    </row>
    <row r="1352" spans="1:8" x14ac:dyDescent="0.25">
      <c r="A1352" s="65">
        <v>44362</v>
      </c>
      <c r="B1352" s="66">
        <v>15869.25</v>
      </c>
      <c r="C1352" s="66">
        <v>15866.95</v>
      </c>
      <c r="D1352" s="66">
        <v>15901.6</v>
      </c>
      <c r="E1352" s="66">
        <v>15842.4</v>
      </c>
      <c r="F1352" s="67" t="s">
        <v>1368</v>
      </c>
      <c r="G1352" s="68">
        <v>3.5999999999999999E-3</v>
      </c>
      <c r="H1352" s="64"/>
    </row>
    <row r="1353" spans="1:8" x14ac:dyDescent="0.25">
      <c r="A1353" s="65">
        <v>44363</v>
      </c>
      <c r="B1353" s="66">
        <v>15767.55</v>
      </c>
      <c r="C1353" s="66">
        <v>15847.5</v>
      </c>
      <c r="D1353" s="66">
        <v>15880.85</v>
      </c>
      <c r="E1353" s="66">
        <v>15742.6</v>
      </c>
      <c r="F1353" s="67" t="s">
        <v>1367</v>
      </c>
      <c r="G1353" s="68">
        <v>-6.4000000000000003E-3</v>
      </c>
      <c r="H1353" s="64"/>
    </row>
    <row r="1354" spans="1:8" x14ac:dyDescent="0.25">
      <c r="A1354" s="65">
        <v>44364</v>
      </c>
      <c r="B1354" s="66">
        <v>15691.4</v>
      </c>
      <c r="C1354" s="66">
        <v>15648.3</v>
      </c>
      <c r="D1354" s="66">
        <v>15769.35</v>
      </c>
      <c r="E1354" s="66">
        <v>15616.75</v>
      </c>
      <c r="F1354" s="67" t="s">
        <v>1366</v>
      </c>
      <c r="G1354" s="68">
        <v>-4.7999999999999996E-3</v>
      </c>
      <c r="H1354" s="64"/>
    </row>
    <row r="1355" spans="1:8" x14ac:dyDescent="0.25">
      <c r="A1355" s="65">
        <v>44365</v>
      </c>
      <c r="B1355" s="66">
        <v>15683.35</v>
      </c>
      <c r="C1355" s="66">
        <v>15756.5</v>
      </c>
      <c r="D1355" s="66">
        <v>15761.5</v>
      </c>
      <c r="E1355" s="66">
        <v>15450.9</v>
      </c>
      <c r="F1355" s="67" t="s">
        <v>1365</v>
      </c>
      <c r="G1355" s="68">
        <v>-5.0000000000000001E-4</v>
      </c>
      <c r="H1355" s="64"/>
    </row>
    <row r="1356" spans="1:8" x14ac:dyDescent="0.25">
      <c r="A1356" s="65">
        <v>44368</v>
      </c>
      <c r="B1356" s="66">
        <v>15746.5</v>
      </c>
      <c r="C1356" s="66">
        <v>15525.85</v>
      </c>
      <c r="D1356" s="66">
        <v>15765.15</v>
      </c>
      <c r="E1356" s="66">
        <v>15505.65</v>
      </c>
      <c r="F1356" s="67" t="s">
        <v>1364</v>
      </c>
      <c r="G1356" s="68">
        <v>4.0000000000000001E-3</v>
      </c>
      <c r="H1356" s="64"/>
    </row>
    <row r="1357" spans="1:8" x14ac:dyDescent="0.25">
      <c r="A1357" s="65">
        <v>44369</v>
      </c>
      <c r="B1357" s="66">
        <v>15772.75</v>
      </c>
      <c r="C1357" s="66">
        <v>15840.5</v>
      </c>
      <c r="D1357" s="66">
        <v>15895.75</v>
      </c>
      <c r="E1357" s="66">
        <v>15752.1</v>
      </c>
      <c r="F1357" s="67" t="s">
        <v>1363</v>
      </c>
      <c r="G1357" s="68">
        <v>1.6999999999999999E-3</v>
      </c>
      <c r="H1357" s="64"/>
    </row>
    <row r="1358" spans="1:8" x14ac:dyDescent="0.25">
      <c r="A1358" s="65">
        <v>44370</v>
      </c>
      <c r="B1358" s="66">
        <v>15686.95</v>
      </c>
      <c r="C1358" s="66">
        <v>15862.8</v>
      </c>
      <c r="D1358" s="66">
        <v>15862.95</v>
      </c>
      <c r="E1358" s="66">
        <v>15673.95</v>
      </c>
      <c r="F1358" s="67" t="s">
        <v>468</v>
      </c>
      <c r="G1358" s="68">
        <v>-5.4000000000000003E-3</v>
      </c>
      <c r="H1358" s="64"/>
    </row>
    <row r="1359" spans="1:8" x14ac:dyDescent="0.25">
      <c r="A1359" s="65">
        <v>44371</v>
      </c>
      <c r="B1359" s="66">
        <v>15790.45</v>
      </c>
      <c r="C1359" s="66">
        <v>15737.3</v>
      </c>
      <c r="D1359" s="66">
        <v>15821.4</v>
      </c>
      <c r="E1359" s="66">
        <v>15702.7</v>
      </c>
      <c r="F1359" s="67" t="s">
        <v>1362</v>
      </c>
      <c r="G1359" s="68">
        <v>6.6E-3</v>
      </c>
      <c r="H1359" s="64"/>
    </row>
    <row r="1360" spans="1:8" x14ac:dyDescent="0.25">
      <c r="A1360" s="65">
        <v>44372</v>
      </c>
      <c r="B1360" s="66">
        <v>15860.35</v>
      </c>
      <c r="C1360" s="66">
        <v>15839.35</v>
      </c>
      <c r="D1360" s="66">
        <v>15870.8</v>
      </c>
      <c r="E1360" s="66">
        <v>15772.3</v>
      </c>
      <c r="F1360" s="67" t="s">
        <v>1361</v>
      </c>
      <c r="G1360" s="68">
        <v>4.4000000000000003E-3</v>
      </c>
      <c r="H1360" s="64"/>
    </row>
    <row r="1361" spans="1:8" x14ac:dyDescent="0.25">
      <c r="A1361" s="65">
        <v>44375</v>
      </c>
      <c r="B1361" s="66">
        <v>15814.7</v>
      </c>
      <c r="C1361" s="66">
        <v>15915.35</v>
      </c>
      <c r="D1361" s="66">
        <v>15915.65</v>
      </c>
      <c r="E1361" s="66">
        <v>15792.15</v>
      </c>
      <c r="F1361" s="67" t="s">
        <v>1360</v>
      </c>
      <c r="G1361" s="68">
        <v>-2.8999999999999998E-3</v>
      </c>
      <c r="H1361" s="64"/>
    </row>
    <row r="1362" spans="1:8" x14ac:dyDescent="0.25">
      <c r="A1362" s="65">
        <v>44376</v>
      </c>
      <c r="B1362" s="66">
        <v>15748.45</v>
      </c>
      <c r="C1362" s="66">
        <v>15807.5</v>
      </c>
      <c r="D1362" s="66">
        <v>15835.9</v>
      </c>
      <c r="E1362" s="66">
        <v>15724.05</v>
      </c>
      <c r="F1362" s="67" t="s">
        <v>1359</v>
      </c>
      <c r="G1362" s="68">
        <v>-4.1999999999999997E-3</v>
      </c>
      <c r="H1362" s="64"/>
    </row>
    <row r="1363" spans="1:8" x14ac:dyDescent="0.25">
      <c r="A1363" s="65">
        <v>44377</v>
      </c>
      <c r="B1363" s="66">
        <v>15721.5</v>
      </c>
      <c r="C1363" s="66">
        <v>15776.9</v>
      </c>
      <c r="D1363" s="66">
        <v>15839.1</v>
      </c>
      <c r="E1363" s="66">
        <v>15708.75</v>
      </c>
      <c r="F1363" s="67" t="s">
        <v>1358</v>
      </c>
      <c r="G1363" s="68">
        <v>-1.6999999999999999E-3</v>
      </c>
      <c r="H1363" s="64"/>
    </row>
    <row r="1364" spans="1:8" x14ac:dyDescent="0.25">
      <c r="A1364" s="65">
        <v>44378</v>
      </c>
      <c r="B1364" s="66">
        <v>15680</v>
      </c>
      <c r="C1364" s="66">
        <v>15755.05</v>
      </c>
      <c r="D1364" s="66">
        <v>15755.55</v>
      </c>
      <c r="E1364" s="66">
        <v>15667.05</v>
      </c>
      <c r="F1364" s="67" t="s">
        <v>1357</v>
      </c>
      <c r="G1364" s="68">
        <v>-2.5999999999999999E-3</v>
      </c>
      <c r="H1364" s="64"/>
    </row>
    <row r="1365" spans="1:8" x14ac:dyDescent="0.25">
      <c r="A1365" s="65">
        <v>44379</v>
      </c>
      <c r="B1365" s="66">
        <v>15722.2</v>
      </c>
      <c r="C1365" s="66">
        <v>15705.85</v>
      </c>
      <c r="D1365" s="66">
        <v>15738.35</v>
      </c>
      <c r="E1365" s="66">
        <v>15635.95</v>
      </c>
      <c r="F1365" s="67" t="s">
        <v>1356</v>
      </c>
      <c r="G1365" s="68">
        <v>2.7000000000000001E-3</v>
      </c>
      <c r="H1365" s="64"/>
    </row>
    <row r="1366" spans="1:8" x14ac:dyDescent="0.25">
      <c r="A1366" s="65">
        <v>44382</v>
      </c>
      <c r="B1366" s="66">
        <v>15834.35</v>
      </c>
      <c r="C1366" s="66">
        <v>15793.4</v>
      </c>
      <c r="D1366" s="66">
        <v>15845.95</v>
      </c>
      <c r="E1366" s="66">
        <v>15762.05</v>
      </c>
      <c r="F1366" s="67" t="s">
        <v>1355</v>
      </c>
      <c r="G1366" s="68">
        <v>7.1000000000000004E-3</v>
      </c>
      <c r="H1366" s="64"/>
    </row>
    <row r="1367" spans="1:8" x14ac:dyDescent="0.25">
      <c r="A1367" s="65">
        <v>44383</v>
      </c>
      <c r="B1367" s="66">
        <v>15818.25</v>
      </c>
      <c r="C1367" s="66">
        <v>15813.75</v>
      </c>
      <c r="D1367" s="66">
        <v>15914.2</v>
      </c>
      <c r="E1367" s="66">
        <v>15801</v>
      </c>
      <c r="F1367" s="67" t="s">
        <v>1354</v>
      </c>
      <c r="G1367" s="68">
        <v>-1E-3</v>
      </c>
      <c r="H1367" s="64"/>
    </row>
    <row r="1368" spans="1:8" x14ac:dyDescent="0.25">
      <c r="A1368" s="65">
        <v>44384</v>
      </c>
      <c r="B1368" s="66">
        <v>15879.65</v>
      </c>
      <c r="C1368" s="66">
        <v>15819.6</v>
      </c>
      <c r="D1368" s="66">
        <v>15893.55</v>
      </c>
      <c r="E1368" s="66">
        <v>15779.7</v>
      </c>
      <c r="F1368" s="67" t="s">
        <v>1353</v>
      </c>
      <c r="G1368" s="68">
        <v>3.8999999999999998E-3</v>
      </c>
      <c r="H1368" s="64"/>
    </row>
    <row r="1369" spans="1:8" x14ac:dyDescent="0.25">
      <c r="A1369" s="65">
        <v>44385</v>
      </c>
      <c r="B1369" s="66">
        <v>15727.9</v>
      </c>
      <c r="C1369" s="66">
        <v>15855.4</v>
      </c>
      <c r="D1369" s="66">
        <v>15885.75</v>
      </c>
      <c r="E1369" s="66">
        <v>15682.9</v>
      </c>
      <c r="F1369" s="67" t="s">
        <v>1352</v>
      </c>
      <c r="G1369" s="68">
        <v>-9.5999999999999992E-3</v>
      </c>
      <c r="H1369" s="64"/>
    </row>
    <row r="1370" spans="1:8" x14ac:dyDescent="0.25">
      <c r="A1370" s="65">
        <v>44386</v>
      </c>
      <c r="B1370" s="66">
        <v>15689.8</v>
      </c>
      <c r="C1370" s="66">
        <v>15688.25</v>
      </c>
      <c r="D1370" s="66">
        <v>15730.85</v>
      </c>
      <c r="E1370" s="66">
        <v>15632.75</v>
      </c>
      <c r="F1370" s="67" t="s">
        <v>1351</v>
      </c>
      <c r="G1370" s="68">
        <v>-2.3999999999999998E-3</v>
      </c>
      <c r="H1370" s="64"/>
    </row>
    <row r="1371" spans="1:8" x14ac:dyDescent="0.25">
      <c r="A1371" s="65">
        <v>44389</v>
      </c>
      <c r="B1371" s="66">
        <v>15692.6</v>
      </c>
      <c r="C1371" s="66">
        <v>15766.8</v>
      </c>
      <c r="D1371" s="66">
        <v>15789.2</v>
      </c>
      <c r="E1371" s="66">
        <v>15644.75</v>
      </c>
      <c r="F1371" s="67" t="s">
        <v>1056</v>
      </c>
      <c r="G1371" s="68">
        <v>2.0000000000000001E-4</v>
      </c>
      <c r="H1371" s="64"/>
    </row>
    <row r="1372" spans="1:8" x14ac:dyDescent="0.25">
      <c r="A1372" s="65">
        <v>44390</v>
      </c>
      <c r="B1372" s="66">
        <v>15812.35</v>
      </c>
      <c r="C1372" s="66">
        <v>15794</v>
      </c>
      <c r="D1372" s="66">
        <v>15820.8</v>
      </c>
      <c r="E1372" s="66">
        <v>15744.6</v>
      </c>
      <c r="F1372" s="67" t="s">
        <v>1350</v>
      </c>
      <c r="G1372" s="68">
        <v>7.6E-3</v>
      </c>
      <c r="H1372" s="64"/>
    </row>
    <row r="1373" spans="1:8" x14ac:dyDescent="0.25">
      <c r="A1373" s="65">
        <v>44391</v>
      </c>
      <c r="B1373" s="66">
        <v>15853.95</v>
      </c>
      <c r="C1373" s="66">
        <v>15808.7</v>
      </c>
      <c r="D1373" s="66">
        <v>15877.35</v>
      </c>
      <c r="E1373" s="66">
        <v>15764.2</v>
      </c>
      <c r="F1373" s="67" t="s">
        <v>1349</v>
      </c>
      <c r="G1373" s="68">
        <v>2.5999999999999999E-3</v>
      </c>
      <c r="H1373" s="64"/>
    </row>
    <row r="1374" spans="1:8" x14ac:dyDescent="0.25">
      <c r="A1374" s="65">
        <v>44392</v>
      </c>
      <c r="B1374" s="66">
        <v>15924.2</v>
      </c>
      <c r="C1374" s="66">
        <v>15872.15</v>
      </c>
      <c r="D1374" s="66">
        <v>15952.35</v>
      </c>
      <c r="E1374" s="66">
        <v>15855</v>
      </c>
      <c r="F1374" s="67" t="s">
        <v>1348</v>
      </c>
      <c r="G1374" s="68">
        <v>4.4000000000000003E-3</v>
      </c>
      <c r="H1374" s="64"/>
    </row>
    <row r="1375" spans="1:8" x14ac:dyDescent="0.25">
      <c r="A1375" s="65">
        <v>44393</v>
      </c>
      <c r="B1375" s="66">
        <v>15923.4</v>
      </c>
      <c r="C1375" s="66">
        <v>15958.35</v>
      </c>
      <c r="D1375" s="66">
        <v>15962.25</v>
      </c>
      <c r="E1375" s="66">
        <v>15882.6</v>
      </c>
      <c r="F1375" s="67" t="s">
        <v>1347</v>
      </c>
      <c r="G1375" s="68">
        <v>-1E-4</v>
      </c>
      <c r="H1375" s="64"/>
    </row>
    <row r="1376" spans="1:8" x14ac:dyDescent="0.25">
      <c r="A1376" s="65">
        <v>44396</v>
      </c>
      <c r="B1376" s="66">
        <v>15752.4</v>
      </c>
      <c r="C1376" s="66">
        <v>15754.5</v>
      </c>
      <c r="D1376" s="66">
        <v>15836.9</v>
      </c>
      <c r="E1376" s="66">
        <v>15707.5</v>
      </c>
      <c r="F1376" s="67" t="s">
        <v>1346</v>
      </c>
      <c r="G1376" s="68">
        <v>-1.0699999999999999E-2</v>
      </c>
      <c r="H1376" s="64"/>
    </row>
    <row r="1377" spans="1:8" x14ac:dyDescent="0.25">
      <c r="A1377" s="65">
        <v>44397</v>
      </c>
      <c r="B1377" s="66">
        <v>15632.1</v>
      </c>
      <c r="C1377" s="66">
        <v>15703.95</v>
      </c>
      <c r="D1377" s="66">
        <v>15728.45</v>
      </c>
      <c r="E1377" s="66">
        <v>15578.55</v>
      </c>
      <c r="F1377" s="67" t="s">
        <v>1345</v>
      </c>
      <c r="G1377" s="68">
        <v>-7.6E-3</v>
      </c>
      <c r="H1377" s="64"/>
    </row>
    <row r="1378" spans="1:8" x14ac:dyDescent="0.25">
      <c r="A1378" s="65">
        <v>44399</v>
      </c>
      <c r="B1378" s="66">
        <v>15824.05</v>
      </c>
      <c r="C1378" s="66">
        <v>15736.6</v>
      </c>
      <c r="D1378" s="66">
        <v>15834.8</v>
      </c>
      <c r="E1378" s="66">
        <v>15726.4</v>
      </c>
      <c r="F1378" s="67" t="s">
        <v>1344</v>
      </c>
      <c r="G1378" s="68">
        <v>1.23E-2</v>
      </c>
      <c r="H1378" s="64"/>
    </row>
    <row r="1379" spans="1:8" x14ac:dyDescent="0.25">
      <c r="A1379" s="65">
        <v>44400</v>
      </c>
      <c r="B1379" s="66">
        <v>15856.05</v>
      </c>
      <c r="C1379" s="66">
        <v>15856.8</v>
      </c>
      <c r="D1379" s="66">
        <v>15899.8</v>
      </c>
      <c r="E1379" s="66">
        <v>15768.4</v>
      </c>
      <c r="F1379" s="67" t="s">
        <v>1343</v>
      </c>
      <c r="G1379" s="68">
        <v>2E-3</v>
      </c>
      <c r="H1379" s="64"/>
    </row>
    <row r="1380" spans="1:8" x14ac:dyDescent="0.25">
      <c r="A1380" s="65">
        <v>44403</v>
      </c>
      <c r="B1380" s="66">
        <v>15824.45</v>
      </c>
      <c r="C1380" s="66">
        <v>15849.3</v>
      </c>
      <c r="D1380" s="66">
        <v>15893.35</v>
      </c>
      <c r="E1380" s="66">
        <v>15797</v>
      </c>
      <c r="F1380" s="67" t="s">
        <v>1342</v>
      </c>
      <c r="G1380" s="68">
        <v>-2E-3</v>
      </c>
      <c r="H1380" s="64"/>
    </row>
    <row r="1381" spans="1:8" x14ac:dyDescent="0.25">
      <c r="A1381" s="65">
        <v>44404</v>
      </c>
      <c r="B1381" s="66">
        <v>15746.45</v>
      </c>
      <c r="C1381" s="66">
        <v>15860.5</v>
      </c>
      <c r="D1381" s="66">
        <v>15881.55</v>
      </c>
      <c r="E1381" s="66">
        <v>15701</v>
      </c>
      <c r="F1381" s="67" t="s">
        <v>1341</v>
      </c>
      <c r="G1381" s="68">
        <v>-4.8999999999999998E-3</v>
      </c>
      <c r="H1381" s="64"/>
    </row>
    <row r="1382" spans="1:8" x14ac:dyDescent="0.25">
      <c r="A1382" s="65">
        <v>44405</v>
      </c>
      <c r="B1382" s="66">
        <v>15709.4</v>
      </c>
      <c r="C1382" s="66">
        <v>15761.55</v>
      </c>
      <c r="D1382" s="66">
        <v>15767.5</v>
      </c>
      <c r="E1382" s="66">
        <v>15513.45</v>
      </c>
      <c r="F1382" s="67" t="s">
        <v>1340</v>
      </c>
      <c r="G1382" s="68">
        <v>-2.3999999999999998E-3</v>
      </c>
      <c r="H1382" s="64"/>
    </row>
    <row r="1383" spans="1:8" x14ac:dyDescent="0.25">
      <c r="A1383" s="65">
        <v>44406</v>
      </c>
      <c r="B1383" s="66">
        <v>15778.45</v>
      </c>
      <c r="C1383" s="66">
        <v>15762.7</v>
      </c>
      <c r="D1383" s="66">
        <v>15817.35</v>
      </c>
      <c r="E1383" s="66">
        <v>15737.8</v>
      </c>
      <c r="F1383" s="67" t="s">
        <v>1339</v>
      </c>
      <c r="G1383" s="68">
        <v>4.4000000000000003E-3</v>
      </c>
      <c r="H1383" s="64"/>
    </row>
    <row r="1384" spans="1:8" x14ac:dyDescent="0.25">
      <c r="A1384" s="65">
        <v>44407</v>
      </c>
      <c r="B1384" s="66">
        <v>15763.05</v>
      </c>
      <c r="C1384" s="66">
        <v>15800.6</v>
      </c>
      <c r="D1384" s="66">
        <v>15862.8</v>
      </c>
      <c r="E1384" s="66">
        <v>15744.85</v>
      </c>
      <c r="F1384" s="67" t="s">
        <v>1338</v>
      </c>
      <c r="G1384" s="68">
        <v>-1E-3</v>
      </c>
      <c r="H1384" s="64"/>
    </row>
    <row r="1385" spans="1:8" x14ac:dyDescent="0.25">
      <c r="A1385" s="65">
        <v>44410</v>
      </c>
      <c r="B1385" s="66">
        <v>15885.15</v>
      </c>
      <c r="C1385" s="66">
        <v>15874.9</v>
      </c>
      <c r="D1385" s="66">
        <v>15892.9</v>
      </c>
      <c r="E1385" s="66">
        <v>15834.65</v>
      </c>
      <c r="F1385" s="67" t="s">
        <v>1337</v>
      </c>
      <c r="G1385" s="68">
        <v>7.7000000000000002E-3</v>
      </c>
      <c r="H1385" s="64"/>
    </row>
    <row r="1386" spans="1:8" x14ac:dyDescent="0.25">
      <c r="A1386" s="65">
        <v>44411</v>
      </c>
      <c r="B1386" s="66">
        <v>16130.75</v>
      </c>
      <c r="C1386" s="66">
        <v>15951.55</v>
      </c>
      <c r="D1386" s="66">
        <v>16146.9</v>
      </c>
      <c r="E1386" s="66">
        <v>15914.35</v>
      </c>
      <c r="F1386" s="67" t="s">
        <v>1336</v>
      </c>
      <c r="G1386" s="68">
        <v>1.55E-2</v>
      </c>
      <c r="H1386" s="64"/>
    </row>
    <row r="1387" spans="1:8" x14ac:dyDescent="0.25">
      <c r="A1387" s="65">
        <v>44412</v>
      </c>
      <c r="B1387" s="66">
        <v>16258.8</v>
      </c>
      <c r="C1387" s="66">
        <v>16195.25</v>
      </c>
      <c r="D1387" s="66">
        <v>16290.2</v>
      </c>
      <c r="E1387" s="66">
        <v>16176.15</v>
      </c>
      <c r="F1387" s="67" t="s">
        <v>1335</v>
      </c>
      <c r="G1387" s="68">
        <v>7.9000000000000008E-3</v>
      </c>
      <c r="H1387" s="64"/>
    </row>
    <row r="1388" spans="1:8" x14ac:dyDescent="0.25">
      <c r="A1388" s="65">
        <v>44413</v>
      </c>
      <c r="B1388" s="66">
        <v>16294.6</v>
      </c>
      <c r="C1388" s="66">
        <v>16288.95</v>
      </c>
      <c r="D1388" s="66">
        <v>16349.45</v>
      </c>
      <c r="E1388" s="66">
        <v>16210.3</v>
      </c>
      <c r="F1388" s="67" t="s">
        <v>1334</v>
      </c>
      <c r="G1388" s="68">
        <v>2.2000000000000001E-3</v>
      </c>
      <c r="H1388" s="64"/>
    </row>
    <row r="1389" spans="1:8" x14ac:dyDescent="0.25">
      <c r="A1389" s="65">
        <v>44414</v>
      </c>
      <c r="B1389" s="66">
        <v>16238.2</v>
      </c>
      <c r="C1389" s="66">
        <v>16304.4</v>
      </c>
      <c r="D1389" s="66">
        <v>16336.75</v>
      </c>
      <c r="E1389" s="66">
        <v>16223.3</v>
      </c>
      <c r="F1389" s="67" t="s">
        <v>1333</v>
      </c>
      <c r="G1389" s="68">
        <v>-3.5000000000000001E-3</v>
      </c>
      <c r="H1389" s="64"/>
    </row>
    <row r="1390" spans="1:8" x14ac:dyDescent="0.25">
      <c r="A1390" s="65">
        <v>44417</v>
      </c>
      <c r="B1390" s="66">
        <v>16258.25</v>
      </c>
      <c r="C1390" s="66">
        <v>16281.35</v>
      </c>
      <c r="D1390" s="66">
        <v>16320.75</v>
      </c>
      <c r="E1390" s="66">
        <v>16179.05</v>
      </c>
      <c r="F1390" s="67" t="s">
        <v>1332</v>
      </c>
      <c r="G1390" s="68">
        <v>1.1999999999999999E-3</v>
      </c>
      <c r="H1390" s="64"/>
    </row>
    <row r="1391" spans="1:8" x14ac:dyDescent="0.25">
      <c r="A1391" s="65">
        <v>44418</v>
      </c>
      <c r="B1391" s="66">
        <v>16280.1</v>
      </c>
      <c r="C1391" s="66">
        <v>16274.8</v>
      </c>
      <c r="D1391" s="66">
        <v>16359.25</v>
      </c>
      <c r="E1391" s="66">
        <v>16202.25</v>
      </c>
      <c r="F1391" s="67" t="s">
        <v>330</v>
      </c>
      <c r="G1391" s="68">
        <v>1.2999999999999999E-3</v>
      </c>
      <c r="H1391" s="64"/>
    </row>
    <row r="1392" spans="1:8" x14ac:dyDescent="0.25">
      <c r="A1392" s="65">
        <v>44419</v>
      </c>
      <c r="B1392" s="66">
        <v>16282.25</v>
      </c>
      <c r="C1392" s="66">
        <v>16327.3</v>
      </c>
      <c r="D1392" s="66">
        <v>16338.75</v>
      </c>
      <c r="E1392" s="66">
        <v>16162.55</v>
      </c>
      <c r="F1392" s="67" t="s">
        <v>716</v>
      </c>
      <c r="G1392" s="68">
        <v>1E-4</v>
      </c>
      <c r="H1392" s="64"/>
    </row>
    <row r="1393" spans="1:8" x14ac:dyDescent="0.25">
      <c r="A1393" s="65">
        <v>44420</v>
      </c>
      <c r="B1393" s="66">
        <v>16364.4</v>
      </c>
      <c r="C1393" s="66">
        <v>16303.65</v>
      </c>
      <c r="D1393" s="66">
        <v>16375.5</v>
      </c>
      <c r="E1393" s="66">
        <v>16286.9</v>
      </c>
      <c r="F1393" s="67" t="s">
        <v>1331</v>
      </c>
      <c r="G1393" s="68">
        <v>5.0000000000000001E-3</v>
      </c>
      <c r="H1393" s="64"/>
    </row>
    <row r="1394" spans="1:8" x14ac:dyDescent="0.25">
      <c r="A1394" s="65">
        <v>44421</v>
      </c>
      <c r="B1394" s="66">
        <v>16529.099999999999</v>
      </c>
      <c r="C1394" s="66">
        <v>16385.7</v>
      </c>
      <c r="D1394" s="66">
        <v>16543.599999999999</v>
      </c>
      <c r="E1394" s="66">
        <v>16376.3</v>
      </c>
      <c r="F1394" s="67" t="s">
        <v>1330</v>
      </c>
      <c r="G1394" s="68">
        <v>1.01E-2</v>
      </c>
      <c r="H1394" s="64"/>
    </row>
    <row r="1395" spans="1:8" x14ac:dyDescent="0.25">
      <c r="A1395" s="65">
        <v>44424</v>
      </c>
      <c r="B1395" s="66">
        <v>16563.05</v>
      </c>
      <c r="C1395" s="66">
        <v>16518.400000000001</v>
      </c>
      <c r="D1395" s="66">
        <v>16589.400000000001</v>
      </c>
      <c r="E1395" s="66">
        <v>16480.75</v>
      </c>
      <c r="F1395" s="67" t="s">
        <v>1329</v>
      </c>
      <c r="G1395" s="68">
        <v>2.0999999999999999E-3</v>
      </c>
      <c r="H1395" s="64"/>
    </row>
    <row r="1396" spans="1:8" x14ac:dyDescent="0.25">
      <c r="A1396" s="65">
        <v>44425</v>
      </c>
      <c r="B1396" s="66">
        <v>16614.599999999999</v>
      </c>
      <c r="C1396" s="66">
        <v>16545.25</v>
      </c>
      <c r="D1396" s="66">
        <v>16628.55</v>
      </c>
      <c r="E1396" s="66">
        <v>16495.400000000001</v>
      </c>
      <c r="F1396" s="67" t="s">
        <v>1328</v>
      </c>
      <c r="G1396" s="68">
        <v>3.0999999999999999E-3</v>
      </c>
      <c r="H1396" s="64"/>
    </row>
    <row r="1397" spans="1:8" x14ac:dyDescent="0.25">
      <c r="A1397" s="65">
        <v>44426</v>
      </c>
      <c r="B1397" s="66">
        <v>16568.849999999999</v>
      </c>
      <c r="C1397" s="66">
        <v>16691.95</v>
      </c>
      <c r="D1397" s="66">
        <v>16701.849999999999</v>
      </c>
      <c r="E1397" s="66">
        <v>16535.849999999999</v>
      </c>
      <c r="F1397" s="67" t="s">
        <v>1327</v>
      </c>
      <c r="G1397" s="68">
        <v>-2.8E-3</v>
      </c>
      <c r="H1397" s="64"/>
    </row>
    <row r="1398" spans="1:8" x14ac:dyDescent="0.25">
      <c r="A1398" s="65">
        <v>44428</v>
      </c>
      <c r="B1398" s="66">
        <v>16450.5</v>
      </c>
      <c r="C1398" s="66">
        <v>16382.5</v>
      </c>
      <c r="D1398" s="66">
        <v>16509.55</v>
      </c>
      <c r="E1398" s="66">
        <v>16376.05</v>
      </c>
      <c r="F1398" s="67" t="s">
        <v>1326</v>
      </c>
      <c r="G1398" s="68">
        <v>-7.1000000000000004E-3</v>
      </c>
      <c r="H1398" s="64"/>
    </row>
    <row r="1399" spans="1:8" x14ac:dyDescent="0.25">
      <c r="A1399" s="65">
        <v>44431</v>
      </c>
      <c r="B1399" s="66">
        <v>16496.45</v>
      </c>
      <c r="C1399" s="66">
        <v>16592.25</v>
      </c>
      <c r="D1399" s="66">
        <v>16592.5</v>
      </c>
      <c r="E1399" s="66">
        <v>16395.7</v>
      </c>
      <c r="F1399" s="67" t="s">
        <v>1325</v>
      </c>
      <c r="G1399" s="68">
        <v>2.8E-3</v>
      </c>
      <c r="H1399" s="64"/>
    </row>
    <row r="1400" spans="1:8" x14ac:dyDescent="0.25">
      <c r="A1400" s="65">
        <v>44432</v>
      </c>
      <c r="B1400" s="66">
        <v>16624.599999999999</v>
      </c>
      <c r="C1400" s="66">
        <v>16561.400000000001</v>
      </c>
      <c r="D1400" s="66">
        <v>16647.099999999999</v>
      </c>
      <c r="E1400" s="66">
        <v>16495.3</v>
      </c>
      <c r="F1400" s="67" t="s">
        <v>1324</v>
      </c>
      <c r="G1400" s="68">
        <v>7.7999999999999996E-3</v>
      </c>
      <c r="H1400" s="64"/>
    </row>
    <row r="1401" spans="1:8" x14ac:dyDescent="0.25">
      <c r="A1401" s="65">
        <v>44433</v>
      </c>
      <c r="B1401" s="66">
        <v>16634.650000000001</v>
      </c>
      <c r="C1401" s="66">
        <v>16654</v>
      </c>
      <c r="D1401" s="66">
        <v>16712.45</v>
      </c>
      <c r="E1401" s="66">
        <v>16617.5</v>
      </c>
      <c r="F1401" s="67" t="s">
        <v>1323</v>
      </c>
      <c r="G1401" s="68">
        <v>5.9999999999999995E-4</v>
      </c>
      <c r="H1401" s="64"/>
    </row>
    <row r="1402" spans="1:8" x14ac:dyDescent="0.25">
      <c r="A1402" s="65">
        <v>44434</v>
      </c>
      <c r="B1402" s="66">
        <v>16636.900000000001</v>
      </c>
      <c r="C1402" s="66">
        <v>16627.95</v>
      </c>
      <c r="D1402" s="66">
        <v>16683.7</v>
      </c>
      <c r="E1402" s="66">
        <v>16603.400000000001</v>
      </c>
      <c r="F1402" s="67" t="s">
        <v>1322</v>
      </c>
      <c r="G1402" s="68">
        <v>1E-4</v>
      </c>
      <c r="H1402" s="64"/>
    </row>
    <row r="1403" spans="1:8" x14ac:dyDescent="0.25">
      <c r="A1403" s="65">
        <v>44435</v>
      </c>
      <c r="B1403" s="66">
        <v>16705.2</v>
      </c>
      <c r="C1403" s="66">
        <v>16642.55</v>
      </c>
      <c r="D1403" s="66">
        <v>16722.05</v>
      </c>
      <c r="E1403" s="66">
        <v>16565.599999999999</v>
      </c>
      <c r="F1403" s="67" t="s">
        <v>1321</v>
      </c>
      <c r="G1403" s="68">
        <v>4.1000000000000003E-3</v>
      </c>
      <c r="H1403" s="64"/>
    </row>
    <row r="1404" spans="1:8" x14ac:dyDescent="0.25">
      <c r="A1404" s="65">
        <v>44438</v>
      </c>
      <c r="B1404" s="66">
        <v>16931.05</v>
      </c>
      <c r="C1404" s="66">
        <v>16775.849999999999</v>
      </c>
      <c r="D1404" s="66">
        <v>16951.5</v>
      </c>
      <c r="E1404" s="66">
        <v>16764.849999999999</v>
      </c>
      <c r="F1404" s="67" t="s">
        <v>1320</v>
      </c>
      <c r="G1404" s="68">
        <v>1.35E-2</v>
      </c>
      <c r="H1404" s="64"/>
    </row>
    <row r="1405" spans="1:8" x14ac:dyDescent="0.25">
      <c r="A1405" s="65">
        <v>44439</v>
      </c>
      <c r="B1405" s="66">
        <v>17132.2</v>
      </c>
      <c r="C1405" s="66">
        <v>16947.5</v>
      </c>
      <c r="D1405" s="66">
        <v>17153.5</v>
      </c>
      <c r="E1405" s="66">
        <v>16915.849999999999</v>
      </c>
      <c r="F1405" s="67" t="s">
        <v>1319</v>
      </c>
      <c r="G1405" s="68">
        <v>1.1900000000000001E-2</v>
      </c>
      <c r="H1405" s="64"/>
    </row>
    <row r="1406" spans="1:8" x14ac:dyDescent="0.25">
      <c r="A1406" s="65">
        <v>44440</v>
      </c>
      <c r="B1406" s="66">
        <v>17076.25</v>
      </c>
      <c r="C1406" s="66">
        <v>17185.599999999999</v>
      </c>
      <c r="D1406" s="66">
        <v>17225.75</v>
      </c>
      <c r="E1406" s="66">
        <v>17055.05</v>
      </c>
      <c r="F1406" s="67" t="s">
        <v>1318</v>
      </c>
      <c r="G1406" s="68">
        <v>-3.3E-3</v>
      </c>
      <c r="H1406" s="64"/>
    </row>
    <row r="1407" spans="1:8" x14ac:dyDescent="0.25">
      <c r="A1407" s="65">
        <v>44441</v>
      </c>
      <c r="B1407" s="66">
        <v>17234.150000000001</v>
      </c>
      <c r="C1407" s="66">
        <v>17095.400000000001</v>
      </c>
      <c r="D1407" s="66">
        <v>17245.5</v>
      </c>
      <c r="E1407" s="66">
        <v>17059.7</v>
      </c>
      <c r="F1407" s="67" t="s">
        <v>1317</v>
      </c>
      <c r="G1407" s="68">
        <v>9.1999999999999998E-3</v>
      </c>
      <c r="H1407" s="64"/>
    </row>
    <row r="1408" spans="1:8" x14ac:dyDescent="0.25">
      <c r="A1408" s="65">
        <v>44442</v>
      </c>
      <c r="B1408" s="66">
        <v>17323.599999999999</v>
      </c>
      <c r="C1408" s="66">
        <v>17262.45</v>
      </c>
      <c r="D1408" s="66">
        <v>17340.099999999999</v>
      </c>
      <c r="E1408" s="66">
        <v>17212.2</v>
      </c>
      <c r="F1408" s="67" t="s">
        <v>1316</v>
      </c>
      <c r="G1408" s="68">
        <v>5.1999999999999998E-3</v>
      </c>
      <c r="H1408" s="64"/>
    </row>
    <row r="1409" spans="1:8" x14ac:dyDescent="0.25">
      <c r="A1409" s="65">
        <v>44445</v>
      </c>
      <c r="B1409" s="66">
        <v>17377.8</v>
      </c>
      <c r="C1409" s="66">
        <v>17399.349999999999</v>
      </c>
      <c r="D1409" s="66">
        <v>17429.55</v>
      </c>
      <c r="E1409" s="66">
        <v>17345.55</v>
      </c>
      <c r="F1409" s="67" t="s">
        <v>1315</v>
      </c>
      <c r="G1409" s="68">
        <v>3.0999999999999999E-3</v>
      </c>
      <c r="H1409" s="64"/>
    </row>
    <row r="1410" spans="1:8" x14ac:dyDescent="0.25">
      <c r="A1410" s="65">
        <v>44446</v>
      </c>
      <c r="B1410" s="66">
        <v>17362.099999999999</v>
      </c>
      <c r="C1410" s="66">
        <v>17401.55</v>
      </c>
      <c r="D1410" s="66">
        <v>17436.5</v>
      </c>
      <c r="E1410" s="66">
        <v>17287</v>
      </c>
      <c r="F1410" s="67" t="s">
        <v>1314</v>
      </c>
      <c r="G1410" s="68">
        <v>-8.9999999999999998E-4</v>
      </c>
      <c r="H1410" s="64"/>
    </row>
    <row r="1411" spans="1:8" x14ac:dyDescent="0.25">
      <c r="A1411" s="65">
        <v>44447</v>
      </c>
      <c r="B1411" s="66">
        <v>17353.5</v>
      </c>
      <c r="C1411" s="66">
        <v>17375.75</v>
      </c>
      <c r="D1411" s="66">
        <v>17383.400000000001</v>
      </c>
      <c r="E1411" s="66">
        <v>17254.2</v>
      </c>
      <c r="F1411" s="67" t="s">
        <v>1313</v>
      </c>
      <c r="G1411" s="68">
        <v>-5.0000000000000001E-4</v>
      </c>
      <c r="H1411" s="64"/>
    </row>
    <row r="1412" spans="1:8" x14ac:dyDescent="0.25">
      <c r="A1412" s="65">
        <v>44448</v>
      </c>
      <c r="B1412" s="66">
        <v>17369.25</v>
      </c>
      <c r="C1412" s="66">
        <v>17312.849999999999</v>
      </c>
      <c r="D1412" s="66">
        <v>17379.650000000001</v>
      </c>
      <c r="E1412" s="66">
        <v>17302.7</v>
      </c>
      <c r="F1412" s="67" t="s">
        <v>1312</v>
      </c>
      <c r="G1412" s="68">
        <v>8.9999999999999998E-4</v>
      </c>
      <c r="H1412" s="64"/>
    </row>
    <row r="1413" spans="1:8" x14ac:dyDescent="0.25">
      <c r="A1413" s="65">
        <v>44452</v>
      </c>
      <c r="B1413" s="66">
        <v>17355.3</v>
      </c>
      <c r="C1413" s="66">
        <v>17363.55</v>
      </c>
      <c r="D1413" s="66">
        <v>17378.349999999999</v>
      </c>
      <c r="E1413" s="66">
        <v>17269.150000000001</v>
      </c>
      <c r="F1413" s="67" t="s">
        <v>1311</v>
      </c>
      <c r="G1413" s="68">
        <v>-8.0000000000000004E-4</v>
      </c>
      <c r="H1413" s="64"/>
    </row>
    <row r="1414" spans="1:8" x14ac:dyDescent="0.25">
      <c r="A1414" s="65">
        <v>44453</v>
      </c>
      <c r="B1414" s="66">
        <v>17380</v>
      </c>
      <c r="C1414" s="66">
        <v>17420.349999999999</v>
      </c>
      <c r="D1414" s="66">
        <v>17438.55</v>
      </c>
      <c r="E1414" s="66">
        <v>17367.05</v>
      </c>
      <c r="F1414" s="67" t="s">
        <v>1310</v>
      </c>
      <c r="G1414" s="68">
        <v>1.4E-3</v>
      </c>
      <c r="H1414" s="64"/>
    </row>
    <row r="1415" spans="1:8" x14ac:dyDescent="0.25">
      <c r="A1415" s="65">
        <v>44454</v>
      </c>
      <c r="B1415" s="66">
        <v>17519.45</v>
      </c>
      <c r="C1415" s="66">
        <v>17387.650000000001</v>
      </c>
      <c r="D1415" s="66">
        <v>17532.7</v>
      </c>
      <c r="E1415" s="66">
        <v>17386.900000000001</v>
      </c>
      <c r="F1415" s="67" t="s">
        <v>1309</v>
      </c>
      <c r="G1415" s="68">
        <v>8.0000000000000002E-3</v>
      </c>
      <c r="H1415" s="64"/>
    </row>
    <row r="1416" spans="1:8" x14ac:dyDescent="0.25">
      <c r="A1416" s="65">
        <v>44455</v>
      </c>
      <c r="B1416" s="66">
        <v>17629.5</v>
      </c>
      <c r="C1416" s="66">
        <v>17539.2</v>
      </c>
      <c r="D1416" s="66">
        <v>17644.599999999999</v>
      </c>
      <c r="E1416" s="66">
        <v>17510.45</v>
      </c>
      <c r="F1416" s="67" t="s">
        <v>1308</v>
      </c>
      <c r="G1416" s="68">
        <v>6.3E-3</v>
      </c>
      <c r="H1416" s="64"/>
    </row>
    <row r="1417" spans="1:8" x14ac:dyDescent="0.25">
      <c r="A1417" s="65">
        <v>44456</v>
      </c>
      <c r="B1417" s="66">
        <v>17585.150000000001</v>
      </c>
      <c r="C1417" s="66">
        <v>17709.650000000001</v>
      </c>
      <c r="D1417" s="66">
        <v>17792.95</v>
      </c>
      <c r="E1417" s="66">
        <v>17537.650000000001</v>
      </c>
      <c r="F1417" s="67" t="s">
        <v>1307</v>
      </c>
      <c r="G1417" s="68">
        <v>-2.5000000000000001E-3</v>
      </c>
      <c r="H1417" s="64"/>
    </row>
    <row r="1418" spans="1:8" x14ac:dyDescent="0.25">
      <c r="A1418" s="65">
        <v>44459</v>
      </c>
      <c r="B1418" s="66">
        <v>17396.900000000001</v>
      </c>
      <c r="C1418" s="66">
        <v>17443.849999999999</v>
      </c>
      <c r="D1418" s="66">
        <v>17622.75</v>
      </c>
      <c r="E1418" s="66">
        <v>17361.8</v>
      </c>
      <c r="F1418" s="67" t="s">
        <v>1306</v>
      </c>
      <c r="G1418" s="68">
        <v>-1.0699999999999999E-2</v>
      </c>
      <c r="H1418" s="64"/>
    </row>
    <row r="1419" spans="1:8" x14ac:dyDescent="0.25">
      <c r="A1419" s="65">
        <v>44460</v>
      </c>
      <c r="B1419" s="66">
        <v>17562</v>
      </c>
      <c r="C1419" s="66">
        <v>17450.5</v>
      </c>
      <c r="D1419" s="66">
        <v>17578.349999999999</v>
      </c>
      <c r="E1419" s="66">
        <v>17326.099999999999</v>
      </c>
      <c r="F1419" s="67" t="s">
        <v>1305</v>
      </c>
      <c r="G1419" s="68">
        <v>9.4999999999999998E-3</v>
      </c>
      <c r="H1419" s="64"/>
    </row>
    <row r="1420" spans="1:8" x14ac:dyDescent="0.25">
      <c r="A1420" s="65">
        <v>44461</v>
      </c>
      <c r="B1420" s="66">
        <v>17546.650000000001</v>
      </c>
      <c r="C1420" s="66">
        <v>17580.900000000001</v>
      </c>
      <c r="D1420" s="66">
        <v>17610.45</v>
      </c>
      <c r="E1420" s="66">
        <v>17524</v>
      </c>
      <c r="F1420" s="67" t="s">
        <v>1304</v>
      </c>
      <c r="G1420" s="68">
        <v>-8.9999999999999998E-4</v>
      </c>
      <c r="H1420" s="64"/>
    </row>
    <row r="1421" spans="1:8" x14ac:dyDescent="0.25">
      <c r="A1421" s="65">
        <v>44462</v>
      </c>
      <c r="B1421" s="66">
        <v>17822.95</v>
      </c>
      <c r="C1421" s="66">
        <v>17670.849999999999</v>
      </c>
      <c r="D1421" s="66">
        <v>17843.900000000001</v>
      </c>
      <c r="E1421" s="66">
        <v>17646.55</v>
      </c>
      <c r="F1421" s="67" t="s">
        <v>1303</v>
      </c>
      <c r="G1421" s="68">
        <v>1.5699999999999999E-2</v>
      </c>
      <c r="H1421" s="64"/>
    </row>
    <row r="1422" spans="1:8" x14ac:dyDescent="0.25">
      <c r="A1422" s="65">
        <v>44463</v>
      </c>
      <c r="B1422" s="66">
        <v>17853.2</v>
      </c>
      <c r="C1422" s="66">
        <v>17897.45</v>
      </c>
      <c r="D1422" s="66">
        <v>17947.650000000001</v>
      </c>
      <c r="E1422" s="66">
        <v>17819.400000000001</v>
      </c>
      <c r="F1422" s="67" t="s">
        <v>1302</v>
      </c>
      <c r="G1422" s="68">
        <v>1.6999999999999999E-3</v>
      </c>
      <c r="H1422" s="64"/>
    </row>
    <row r="1423" spans="1:8" x14ac:dyDescent="0.25">
      <c r="A1423" s="65">
        <v>44466</v>
      </c>
      <c r="B1423" s="66">
        <v>17855.099999999999</v>
      </c>
      <c r="C1423" s="66">
        <v>17932.2</v>
      </c>
      <c r="D1423" s="66">
        <v>17943.5</v>
      </c>
      <c r="E1423" s="66">
        <v>17802.900000000001</v>
      </c>
      <c r="F1423" s="67" t="s">
        <v>730</v>
      </c>
      <c r="G1423" s="68">
        <v>1E-4</v>
      </c>
      <c r="H1423" s="64"/>
    </row>
    <row r="1424" spans="1:8" x14ac:dyDescent="0.25">
      <c r="A1424" s="65">
        <v>44467</v>
      </c>
      <c r="B1424" s="66">
        <v>17748.599999999999</v>
      </c>
      <c r="C1424" s="66">
        <v>17906.45</v>
      </c>
      <c r="D1424" s="66">
        <v>17912.849999999999</v>
      </c>
      <c r="E1424" s="66">
        <v>17576.099999999999</v>
      </c>
      <c r="F1424" s="67" t="s">
        <v>1301</v>
      </c>
      <c r="G1424" s="68">
        <v>-6.0000000000000001E-3</v>
      </c>
      <c r="H1424" s="64"/>
    </row>
    <row r="1425" spans="1:8" x14ac:dyDescent="0.25">
      <c r="A1425" s="65">
        <v>44468</v>
      </c>
      <c r="B1425" s="66">
        <v>17711.3</v>
      </c>
      <c r="C1425" s="66">
        <v>17657.95</v>
      </c>
      <c r="D1425" s="66">
        <v>17781.75</v>
      </c>
      <c r="E1425" s="66">
        <v>17608.150000000001</v>
      </c>
      <c r="F1425" s="67" t="s">
        <v>1300</v>
      </c>
      <c r="G1425" s="68">
        <v>-2.0999999999999999E-3</v>
      </c>
      <c r="H1425" s="64"/>
    </row>
    <row r="1426" spans="1:8" x14ac:dyDescent="0.25">
      <c r="A1426" s="65">
        <v>44469</v>
      </c>
      <c r="B1426" s="66">
        <v>17618.150000000001</v>
      </c>
      <c r="C1426" s="66">
        <v>17718.900000000001</v>
      </c>
      <c r="D1426" s="66">
        <v>17742.150000000001</v>
      </c>
      <c r="E1426" s="66">
        <v>17585.349999999999</v>
      </c>
      <c r="F1426" s="67" t="s">
        <v>1299</v>
      </c>
      <c r="G1426" s="68">
        <v>-5.3E-3</v>
      </c>
      <c r="H1426" s="64"/>
    </row>
    <row r="1427" spans="1:8" x14ac:dyDescent="0.25">
      <c r="A1427" s="65">
        <v>44470</v>
      </c>
      <c r="B1427" s="66">
        <v>17532.05</v>
      </c>
      <c r="C1427" s="66">
        <v>17531.900000000001</v>
      </c>
      <c r="D1427" s="66">
        <v>17557.150000000001</v>
      </c>
      <c r="E1427" s="66">
        <v>17452.900000000001</v>
      </c>
      <c r="F1427" s="67" t="s">
        <v>1298</v>
      </c>
      <c r="G1427" s="68">
        <v>-4.8999999999999998E-3</v>
      </c>
      <c r="H1427" s="64"/>
    </row>
    <row r="1428" spans="1:8" x14ac:dyDescent="0.25">
      <c r="A1428" s="65">
        <v>44473</v>
      </c>
      <c r="B1428" s="66">
        <v>17691.25</v>
      </c>
      <c r="C1428" s="66">
        <v>17615.55</v>
      </c>
      <c r="D1428" s="66">
        <v>17750.900000000001</v>
      </c>
      <c r="E1428" s="66">
        <v>17581.349999999999</v>
      </c>
      <c r="F1428" s="67" t="s">
        <v>1297</v>
      </c>
      <c r="G1428" s="68">
        <v>9.1000000000000004E-3</v>
      </c>
      <c r="H1428" s="64"/>
    </row>
    <row r="1429" spans="1:8" x14ac:dyDescent="0.25">
      <c r="A1429" s="65">
        <v>44474</v>
      </c>
      <c r="B1429" s="66">
        <v>17822.3</v>
      </c>
      <c r="C1429" s="66">
        <v>17661.349999999999</v>
      </c>
      <c r="D1429" s="66">
        <v>17833.45</v>
      </c>
      <c r="E1429" s="66">
        <v>17640.900000000001</v>
      </c>
      <c r="F1429" s="67" t="s">
        <v>1296</v>
      </c>
      <c r="G1429" s="68">
        <v>7.4000000000000003E-3</v>
      </c>
      <c r="H1429" s="64"/>
    </row>
    <row r="1430" spans="1:8" x14ac:dyDescent="0.25">
      <c r="A1430" s="65">
        <v>44475</v>
      </c>
      <c r="B1430" s="66">
        <v>17646</v>
      </c>
      <c r="C1430" s="66">
        <v>17861.5</v>
      </c>
      <c r="D1430" s="66">
        <v>17884.599999999999</v>
      </c>
      <c r="E1430" s="66">
        <v>17613.150000000001</v>
      </c>
      <c r="F1430" s="67" t="s">
        <v>1295</v>
      </c>
      <c r="G1430" s="68">
        <v>-9.9000000000000008E-3</v>
      </c>
      <c r="H1430" s="64"/>
    </row>
    <row r="1431" spans="1:8" x14ac:dyDescent="0.25">
      <c r="A1431" s="65">
        <v>44476</v>
      </c>
      <c r="B1431" s="66">
        <v>17790.349999999999</v>
      </c>
      <c r="C1431" s="66">
        <v>17810.55</v>
      </c>
      <c r="D1431" s="66">
        <v>17857.55</v>
      </c>
      <c r="E1431" s="66">
        <v>17763.8</v>
      </c>
      <c r="F1431" s="67" t="s">
        <v>1294</v>
      </c>
      <c r="G1431" s="68">
        <v>8.2000000000000007E-3</v>
      </c>
      <c r="H1431" s="64"/>
    </row>
    <row r="1432" spans="1:8" x14ac:dyDescent="0.25">
      <c r="A1432" s="65">
        <v>44477</v>
      </c>
      <c r="B1432" s="66">
        <v>17895.2</v>
      </c>
      <c r="C1432" s="66">
        <v>17886.849999999999</v>
      </c>
      <c r="D1432" s="66">
        <v>17941.849999999999</v>
      </c>
      <c r="E1432" s="66">
        <v>17840.349999999999</v>
      </c>
      <c r="F1432" s="67" t="s">
        <v>1293</v>
      </c>
      <c r="G1432" s="68">
        <v>5.8999999999999999E-3</v>
      </c>
      <c r="H1432" s="64"/>
    </row>
    <row r="1433" spans="1:8" x14ac:dyDescent="0.25">
      <c r="A1433" s="65">
        <v>44480</v>
      </c>
      <c r="B1433" s="66">
        <v>17945.95</v>
      </c>
      <c r="C1433" s="66">
        <v>17867.55</v>
      </c>
      <c r="D1433" s="66">
        <v>18041.95</v>
      </c>
      <c r="E1433" s="66">
        <v>17839.099999999999</v>
      </c>
      <c r="F1433" s="67" t="s">
        <v>1292</v>
      </c>
      <c r="G1433" s="68">
        <v>2.8E-3</v>
      </c>
      <c r="H1433" s="64"/>
    </row>
    <row r="1434" spans="1:8" x14ac:dyDescent="0.25">
      <c r="A1434" s="65">
        <v>44481</v>
      </c>
      <c r="B1434" s="66">
        <v>17991.95</v>
      </c>
      <c r="C1434" s="66">
        <v>17915.8</v>
      </c>
      <c r="D1434" s="66">
        <v>18008.650000000001</v>
      </c>
      <c r="E1434" s="66">
        <v>17864.95</v>
      </c>
      <c r="F1434" s="67" t="s">
        <v>1291</v>
      </c>
      <c r="G1434" s="68">
        <v>2.5999999999999999E-3</v>
      </c>
      <c r="H1434" s="64"/>
    </row>
    <row r="1435" spans="1:8" x14ac:dyDescent="0.25">
      <c r="A1435" s="65">
        <v>44482</v>
      </c>
      <c r="B1435" s="66">
        <v>18161.75</v>
      </c>
      <c r="C1435" s="66">
        <v>18097.849999999999</v>
      </c>
      <c r="D1435" s="66">
        <v>18197.8</v>
      </c>
      <c r="E1435" s="66">
        <v>18050.75</v>
      </c>
      <c r="F1435" s="67" t="s">
        <v>1290</v>
      </c>
      <c r="G1435" s="68">
        <v>9.4000000000000004E-3</v>
      </c>
      <c r="H1435" s="64"/>
    </row>
    <row r="1436" spans="1:8" x14ac:dyDescent="0.25">
      <c r="A1436" s="65">
        <v>44483</v>
      </c>
      <c r="B1436" s="66">
        <v>18338.55</v>
      </c>
      <c r="C1436" s="66">
        <v>18272.849999999999</v>
      </c>
      <c r="D1436" s="66">
        <v>18350.75</v>
      </c>
      <c r="E1436" s="66">
        <v>18248.7</v>
      </c>
      <c r="F1436" s="67" t="s">
        <v>1289</v>
      </c>
      <c r="G1436" s="68">
        <v>9.7000000000000003E-3</v>
      </c>
      <c r="H1436" s="64"/>
    </row>
    <row r="1437" spans="1:8" x14ac:dyDescent="0.25">
      <c r="A1437" s="65">
        <v>44487</v>
      </c>
      <c r="B1437" s="66">
        <v>18477.05</v>
      </c>
      <c r="C1437" s="66">
        <v>18500.099999999999</v>
      </c>
      <c r="D1437" s="66">
        <v>18543.150000000001</v>
      </c>
      <c r="E1437" s="66">
        <v>18445.3</v>
      </c>
      <c r="F1437" s="67" t="s">
        <v>1288</v>
      </c>
      <c r="G1437" s="68">
        <v>7.6E-3</v>
      </c>
      <c r="H1437" s="64"/>
    </row>
    <row r="1438" spans="1:8" x14ac:dyDescent="0.25">
      <c r="A1438" s="65">
        <v>44488</v>
      </c>
      <c r="B1438" s="66">
        <v>18418.75</v>
      </c>
      <c r="C1438" s="66">
        <v>18602.349999999999</v>
      </c>
      <c r="D1438" s="66">
        <v>18604.45</v>
      </c>
      <c r="E1438" s="66">
        <v>18377.7</v>
      </c>
      <c r="F1438" s="67" t="s">
        <v>1287</v>
      </c>
      <c r="G1438" s="68">
        <v>-3.2000000000000002E-3</v>
      </c>
      <c r="H1438" s="64"/>
    </row>
    <row r="1439" spans="1:8" x14ac:dyDescent="0.25">
      <c r="A1439" s="65">
        <v>44489</v>
      </c>
      <c r="B1439" s="66">
        <v>18266.599999999999</v>
      </c>
      <c r="C1439" s="66">
        <v>18439.900000000001</v>
      </c>
      <c r="D1439" s="66">
        <v>18458.3</v>
      </c>
      <c r="E1439" s="66">
        <v>18209.349999999999</v>
      </c>
      <c r="F1439" s="67" t="s">
        <v>1286</v>
      </c>
      <c r="G1439" s="68">
        <v>-8.3000000000000001E-3</v>
      </c>
      <c r="H1439" s="64"/>
    </row>
    <row r="1440" spans="1:8" x14ac:dyDescent="0.25">
      <c r="A1440" s="65">
        <v>44490</v>
      </c>
      <c r="B1440" s="66">
        <v>18178.099999999999</v>
      </c>
      <c r="C1440" s="66">
        <v>18382.7</v>
      </c>
      <c r="D1440" s="66">
        <v>18384.2</v>
      </c>
      <c r="E1440" s="66">
        <v>18048</v>
      </c>
      <c r="F1440" s="67" t="s">
        <v>1285</v>
      </c>
      <c r="G1440" s="68">
        <v>-4.7999999999999996E-3</v>
      </c>
      <c r="H1440" s="64"/>
    </row>
    <row r="1441" spans="1:8" x14ac:dyDescent="0.25">
      <c r="A1441" s="65">
        <v>44491</v>
      </c>
      <c r="B1441" s="66">
        <v>18114.900000000001</v>
      </c>
      <c r="C1441" s="66">
        <v>18230.7</v>
      </c>
      <c r="D1441" s="66">
        <v>18314.25</v>
      </c>
      <c r="E1441" s="66">
        <v>18034.349999999999</v>
      </c>
      <c r="F1441" s="67" t="s">
        <v>1284</v>
      </c>
      <c r="G1441" s="68">
        <v>-3.5000000000000001E-3</v>
      </c>
      <c r="H1441" s="64"/>
    </row>
    <row r="1442" spans="1:8" x14ac:dyDescent="0.25">
      <c r="A1442" s="65">
        <v>44494</v>
      </c>
      <c r="B1442" s="66">
        <v>18125.400000000001</v>
      </c>
      <c r="C1442" s="66">
        <v>18229.5</v>
      </c>
      <c r="D1442" s="66">
        <v>18241.400000000001</v>
      </c>
      <c r="E1442" s="66">
        <v>17968.5</v>
      </c>
      <c r="F1442" s="67" t="s">
        <v>1283</v>
      </c>
      <c r="G1442" s="68">
        <v>5.9999999999999995E-4</v>
      </c>
      <c r="H1442" s="64"/>
    </row>
    <row r="1443" spans="1:8" x14ac:dyDescent="0.25">
      <c r="A1443" s="65">
        <v>44495</v>
      </c>
      <c r="B1443" s="66">
        <v>18268.400000000001</v>
      </c>
      <c r="C1443" s="66">
        <v>18154.5</v>
      </c>
      <c r="D1443" s="66">
        <v>18310.45</v>
      </c>
      <c r="E1443" s="66">
        <v>18099.3</v>
      </c>
      <c r="F1443" s="67" t="s">
        <v>1282</v>
      </c>
      <c r="G1443" s="68">
        <v>7.9000000000000008E-3</v>
      </c>
      <c r="H1443" s="64"/>
    </row>
    <row r="1444" spans="1:8" x14ac:dyDescent="0.25">
      <c r="A1444" s="65">
        <v>44496</v>
      </c>
      <c r="B1444" s="66">
        <v>18210.95</v>
      </c>
      <c r="C1444" s="66">
        <v>18295.849999999999</v>
      </c>
      <c r="D1444" s="66">
        <v>18342.05</v>
      </c>
      <c r="E1444" s="66">
        <v>18167.900000000001</v>
      </c>
      <c r="F1444" s="67" t="s">
        <v>1281</v>
      </c>
      <c r="G1444" s="68">
        <v>-3.0999999999999999E-3</v>
      </c>
      <c r="H1444" s="64"/>
    </row>
    <row r="1445" spans="1:8" x14ac:dyDescent="0.25">
      <c r="A1445" s="65">
        <v>44497</v>
      </c>
      <c r="B1445" s="66">
        <v>17857.25</v>
      </c>
      <c r="C1445" s="66">
        <v>18187.650000000001</v>
      </c>
      <c r="D1445" s="66">
        <v>18190.7</v>
      </c>
      <c r="E1445" s="66">
        <v>17799.45</v>
      </c>
      <c r="F1445" s="67" t="s">
        <v>1280</v>
      </c>
      <c r="G1445" s="68">
        <v>-1.9400000000000001E-2</v>
      </c>
      <c r="H1445" s="64"/>
    </row>
    <row r="1446" spans="1:8" x14ac:dyDescent="0.25">
      <c r="A1446" s="65">
        <v>44498</v>
      </c>
      <c r="B1446" s="66">
        <v>17671.650000000001</v>
      </c>
      <c r="C1446" s="66">
        <v>17833.05</v>
      </c>
      <c r="D1446" s="66">
        <v>17915.849999999999</v>
      </c>
      <c r="E1446" s="66">
        <v>17613.099999999999</v>
      </c>
      <c r="F1446" s="67" t="s">
        <v>1279</v>
      </c>
      <c r="G1446" s="68">
        <v>-1.04E-2</v>
      </c>
      <c r="H1446" s="64"/>
    </row>
    <row r="1447" spans="1:8" x14ac:dyDescent="0.25">
      <c r="A1447" s="65">
        <v>44501</v>
      </c>
      <c r="B1447" s="66">
        <v>17929.650000000001</v>
      </c>
      <c r="C1447" s="66">
        <v>17783.150000000001</v>
      </c>
      <c r="D1447" s="66">
        <v>17954.099999999999</v>
      </c>
      <c r="E1447" s="66">
        <v>17697.099999999999</v>
      </c>
      <c r="F1447" s="67" t="s">
        <v>1278</v>
      </c>
      <c r="G1447" s="68">
        <v>1.46E-2</v>
      </c>
      <c r="H1447" s="64"/>
    </row>
    <row r="1448" spans="1:8" x14ac:dyDescent="0.25">
      <c r="A1448" s="65">
        <v>44502</v>
      </c>
      <c r="B1448" s="66">
        <v>17888.95</v>
      </c>
      <c r="C1448" s="66">
        <v>17970.900000000001</v>
      </c>
      <c r="D1448" s="66">
        <v>18012.25</v>
      </c>
      <c r="E1448" s="66">
        <v>17847.599999999999</v>
      </c>
      <c r="F1448" s="67" t="s">
        <v>1277</v>
      </c>
      <c r="G1448" s="68">
        <v>-2.3E-3</v>
      </c>
      <c r="H1448" s="64"/>
    </row>
    <row r="1449" spans="1:8" x14ac:dyDescent="0.25">
      <c r="A1449" s="65">
        <v>44503</v>
      </c>
      <c r="B1449" s="66">
        <v>17829.2</v>
      </c>
      <c r="C1449" s="66">
        <v>17947.95</v>
      </c>
      <c r="D1449" s="66">
        <v>17988.75</v>
      </c>
      <c r="E1449" s="66">
        <v>17757.95</v>
      </c>
      <c r="F1449" s="67" t="s">
        <v>1276</v>
      </c>
      <c r="G1449" s="68">
        <v>-3.3E-3</v>
      </c>
      <c r="H1449" s="64"/>
    </row>
    <row r="1450" spans="1:8" x14ac:dyDescent="0.25">
      <c r="A1450" s="65">
        <v>44504</v>
      </c>
      <c r="B1450" s="66">
        <v>17916.8</v>
      </c>
      <c r="C1450" s="66">
        <v>17935.05</v>
      </c>
      <c r="D1450" s="66">
        <v>17947.55</v>
      </c>
      <c r="E1450" s="66">
        <v>17900.599999999999</v>
      </c>
      <c r="F1450" s="67" t="s">
        <v>1275</v>
      </c>
      <c r="G1450" s="68">
        <v>4.8999999999999998E-3</v>
      </c>
      <c r="H1450" s="64"/>
    </row>
    <row r="1451" spans="1:8" x14ac:dyDescent="0.25">
      <c r="A1451" s="65">
        <v>44508</v>
      </c>
      <c r="B1451" s="66">
        <v>18068.55</v>
      </c>
      <c r="C1451" s="66">
        <v>18040.2</v>
      </c>
      <c r="D1451" s="66">
        <v>18087.8</v>
      </c>
      <c r="E1451" s="66">
        <v>17836.099999999999</v>
      </c>
      <c r="F1451" s="67" t="s">
        <v>1274</v>
      </c>
      <c r="G1451" s="68">
        <v>8.5000000000000006E-3</v>
      </c>
      <c r="H1451" s="64"/>
    </row>
    <row r="1452" spans="1:8" x14ac:dyDescent="0.25">
      <c r="A1452" s="65">
        <v>44509</v>
      </c>
      <c r="B1452" s="66">
        <v>18044.25</v>
      </c>
      <c r="C1452" s="66">
        <v>18084.349999999999</v>
      </c>
      <c r="D1452" s="66">
        <v>18112.599999999999</v>
      </c>
      <c r="E1452" s="66">
        <v>17983.05</v>
      </c>
      <c r="F1452" s="67" t="s">
        <v>1273</v>
      </c>
      <c r="G1452" s="68">
        <v>-1.2999999999999999E-3</v>
      </c>
      <c r="H1452" s="64"/>
    </row>
    <row r="1453" spans="1:8" x14ac:dyDescent="0.25">
      <c r="A1453" s="65">
        <v>44510</v>
      </c>
      <c r="B1453" s="66">
        <v>18017.2</v>
      </c>
      <c r="C1453" s="66">
        <v>17973.45</v>
      </c>
      <c r="D1453" s="66">
        <v>18061.25</v>
      </c>
      <c r="E1453" s="66">
        <v>17915</v>
      </c>
      <c r="F1453" s="67" t="s">
        <v>1272</v>
      </c>
      <c r="G1453" s="68">
        <v>-1.5E-3</v>
      </c>
      <c r="H1453" s="64"/>
    </row>
    <row r="1454" spans="1:8" x14ac:dyDescent="0.25">
      <c r="A1454" s="65">
        <v>44511</v>
      </c>
      <c r="B1454" s="66">
        <v>17873.599999999999</v>
      </c>
      <c r="C1454" s="66">
        <v>17967.45</v>
      </c>
      <c r="D1454" s="66">
        <v>17971.349999999999</v>
      </c>
      <c r="E1454" s="66">
        <v>17798.2</v>
      </c>
      <c r="F1454" s="67" t="s">
        <v>1271</v>
      </c>
      <c r="G1454" s="68">
        <v>-8.0000000000000002E-3</v>
      </c>
      <c r="H1454" s="64"/>
    </row>
    <row r="1455" spans="1:8" x14ac:dyDescent="0.25">
      <c r="A1455" s="65">
        <v>44512</v>
      </c>
      <c r="B1455" s="66">
        <v>18102.75</v>
      </c>
      <c r="C1455" s="66">
        <v>17977.599999999999</v>
      </c>
      <c r="D1455" s="66">
        <v>18123</v>
      </c>
      <c r="E1455" s="66">
        <v>17905.900000000001</v>
      </c>
      <c r="F1455" s="67" t="s">
        <v>1270</v>
      </c>
      <c r="G1455" s="68">
        <v>1.2800000000000001E-2</v>
      </c>
      <c r="H1455" s="64"/>
    </row>
    <row r="1456" spans="1:8" x14ac:dyDescent="0.25">
      <c r="A1456" s="65">
        <v>44515</v>
      </c>
      <c r="B1456" s="66">
        <v>18109.45</v>
      </c>
      <c r="C1456" s="66">
        <v>18140.95</v>
      </c>
      <c r="D1456" s="66">
        <v>18210.150000000001</v>
      </c>
      <c r="E1456" s="66">
        <v>18071.3</v>
      </c>
      <c r="F1456" s="67" t="s">
        <v>1269</v>
      </c>
      <c r="G1456" s="68">
        <v>4.0000000000000002E-4</v>
      </c>
      <c r="H1456" s="64"/>
    </row>
    <row r="1457" spans="1:8" x14ac:dyDescent="0.25">
      <c r="A1457" s="65">
        <v>44516</v>
      </c>
      <c r="B1457" s="66">
        <v>17999.2</v>
      </c>
      <c r="C1457" s="66">
        <v>18127.05</v>
      </c>
      <c r="D1457" s="66">
        <v>18132.650000000001</v>
      </c>
      <c r="E1457" s="66">
        <v>17958.8</v>
      </c>
      <c r="F1457" s="67" t="s">
        <v>1268</v>
      </c>
      <c r="G1457" s="68">
        <v>-6.1000000000000004E-3</v>
      </c>
      <c r="H1457" s="64"/>
    </row>
    <row r="1458" spans="1:8" x14ac:dyDescent="0.25">
      <c r="A1458" s="65">
        <v>44517</v>
      </c>
      <c r="B1458" s="66">
        <v>17898.650000000001</v>
      </c>
      <c r="C1458" s="66">
        <v>17939.349999999999</v>
      </c>
      <c r="D1458" s="66">
        <v>18022.650000000001</v>
      </c>
      <c r="E1458" s="66">
        <v>17879.25</v>
      </c>
      <c r="F1458" s="67" t="s">
        <v>1267</v>
      </c>
      <c r="G1458" s="68">
        <v>-5.5999999999999999E-3</v>
      </c>
      <c r="H1458" s="64"/>
    </row>
    <row r="1459" spans="1:8" x14ac:dyDescent="0.25">
      <c r="A1459" s="65">
        <v>44518</v>
      </c>
      <c r="B1459" s="66">
        <v>17764.8</v>
      </c>
      <c r="C1459" s="66">
        <v>17890.55</v>
      </c>
      <c r="D1459" s="66">
        <v>17945.599999999999</v>
      </c>
      <c r="E1459" s="66">
        <v>17688.5</v>
      </c>
      <c r="F1459" s="67" t="s">
        <v>1266</v>
      </c>
      <c r="G1459" s="68">
        <v>-7.4999999999999997E-3</v>
      </c>
      <c r="H1459" s="64"/>
    </row>
    <row r="1460" spans="1:8" x14ac:dyDescent="0.25">
      <c r="A1460" s="65">
        <v>44522</v>
      </c>
      <c r="B1460" s="66">
        <v>17416.55</v>
      </c>
      <c r="C1460" s="66">
        <v>17796.25</v>
      </c>
      <c r="D1460" s="66">
        <v>17805.25</v>
      </c>
      <c r="E1460" s="66">
        <v>17280.45</v>
      </c>
      <c r="F1460" s="67" t="s">
        <v>1265</v>
      </c>
      <c r="G1460" s="68">
        <v>-1.9599999999999999E-2</v>
      </c>
      <c r="H1460" s="64"/>
    </row>
    <row r="1461" spans="1:8" x14ac:dyDescent="0.25">
      <c r="A1461" s="65">
        <v>44523</v>
      </c>
      <c r="B1461" s="66">
        <v>17503.349999999999</v>
      </c>
      <c r="C1461" s="66">
        <v>17281.75</v>
      </c>
      <c r="D1461" s="66">
        <v>17553.7</v>
      </c>
      <c r="E1461" s="66">
        <v>17216.099999999999</v>
      </c>
      <c r="F1461" s="67" t="s">
        <v>1173</v>
      </c>
      <c r="G1461" s="68">
        <v>5.0000000000000001E-3</v>
      </c>
      <c r="H1461" s="64"/>
    </row>
    <row r="1462" spans="1:8" x14ac:dyDescent="0.25">
      <c r="A1462" s="65">
        <v>44524</v>
      </c>
      <c r="B1462" s="66">
        <v>17415.05</v>
      </c>
      <c r="C1462" s="66">
        <v>17550.05</v>
      </c>
      <c r="D1462" s="66">
        <v>17600.599999999999</v>
      </c>
      <c r="E1462" s="66">
        <v>17354</v>
      </c>
      <c r="F1462" s="67" t="s">
        <v>864</v>
      </c>
      <c r="G1462" s="68">
        <v>-5.0000000000000001E-3</v>
      </c>
      <c r="H1462" s="64"/>
    </row>
    <row r="1463" spans="1:8" x14ac:dyDescent="0.25">
      <c r="A1463" s="65">
        <v>44525</v>
      </c>
      <c r="B1463" s="66">
        <v>17536.25</v>
      </c>
      <c r="C1463" s="66">
        <v>17417.3</v>
      </c>
      <c r="D1463" s="66">
        <v>17564.349999999999</v>
      </c>
      <c r="E1463" s="66">
        <v>17351.7</v>
      </c>
      <c r="F1463" s="67" t="s">
        <v>1264</v>
      </c>
      <c r="G1463" s="68">
        <v>7.0000000000000001E-3</v>
      </c>
      <c r="H1463" s="64"/>
    </row>
    <row r="1464" spans="1:8" x14ac:dyDescent="0.25">
      <c r="A1464" s="65">
        <v>44526</v>
      </c>
      <c r="B1464" s="66">
        <v>17026.45</v>
      </c>
      <c r="C1464" s="66">
        <v>17338.75</v>
      </c>
      <c r="D1464" s="66">
        <v>17355.400000000001</v>
      </c>
      <c r="E1464" s="66">
        <v>16985.7</v>
      </c>
      <c r="F1464" s="67" t="s">
        <v>1263</v>
      </c>
      <c r="G1464" s="68">
        <v>-2.9100000000000001E-2</v>
      </c>
      <c r="H1464" s="64"/>
    </row>
    <row r="1465" spans="1:8" x14ac:dyDescent="0.25">
      <c r="A1465" s="65">
        <v>44529</v>
      </c>
      <c r="B1465" s="66">
        <v>17053.95</v>
      </c>
      <c r="C1465" s="66">
        <v>17055.8</v>
      </c>
      <c r="D1465" s="66">
        <v>17160.7</v>
      </c>
      <c r="E1465" s="66">
        <v>16782.400000000001</v>
      </c>
      <c r="F1465" s="67" t="s">
        <v>1262</v>
      </c>
      <c r="G1465" s="68">
        <v>1.6000000000000001E-3</v>
      </c>
      <c r="H1465" s="64"/>
    </row>
    <row r="1466" spans="1:8" x14ac:dyDescent="0.25">
      <c r="A1466" s="65">
        <v>44530</v>
      </c>
      <c r="B1466" s="66">
        <v>16983.2</v>
      </c>
      <c r="C1466" s="66">
        <v>17051.150000000001</v>
      </c>
      <c r="D1466" s="66">
        <v>17324.650000000001</v>
      </c>
      <c r="E1466" s="66">
        <v>16931.400000000001</v>
      </c>
      <c r="F1466" s="67" t="s">
        <v>1261</v>
      </c>
      <c r="G1466" s="68">
        <v>-4.1000000000000003E-3</v>
      </c>
      <c r="H1466" s="64"/>
    </row>
    <row r="1467" spans="1:8" x14ac:dyDescent="0.25">
      <c r="A1467" s="65">
        <v>44531</v>
      </c>
      <c r="B1467" s="66">
        <v>17166.900000000001</v>
      </c>
      <c r="C1467" s="66">
        <v>17104.400000000001</v>
      </c>
      <c r="D1467" s="66">
        <v>17213.05</v>
      </c>
      <c r="E1467" s="66">
        <v>17064.25</v>
      </c>
      <c r="F1467" s="67" t="s">
        <v>1260</v>
      </c>
      <c r="G1467" s="68">
        <v>1.0800000000000001E-2</v>
      </c>
      <c r="H1467" s="64"/>
    </row>
    <row r="1468" spans="1:8" x14ac:dyDescent="0.25">
      <c r="A1468" s="65">
        <v>44532</v>
      </c>
      <c r="B1468" s="66">
        <v>17401.650000000001</v>
      </c>
      <c r="C1468" s="66">
        <v>17183.2</v>
      </c>
      <c r="D1468" s="66">
        <v>17420.349999999999</v>
      </c>
      <c r="E1468" s="66">
        <v>17149.3</v>
      </c>
      <c r="F1468" s="67" t="s">
        <v>1259</v>
      </c>
      <c r="G1468" s="68">
        <v>1.37E-2</v>
      </c>
      <c r="H1468" s="64"/>
    </row>
    <row r="1469" spans="1:8" x14ac:dyDescent="0.25">
      <c r="A1469" s="65">
        <v>44533</v>
      </c>
      <c r="B1469" s="66">
        <v>17196.7</v>
      </c>
      <c r="C1469" s="66">
        <v>17424.900000000001</v>
      </c>
      <c r="D1469" s="66">
        <v>17489.8</v>
      </c>
      <c r="E1469" s="66">
        <v>17180.8</v>
      </c>
      <c r="F1469" s="67" t="s">
        <v>1258</v>
      </c>
      <c r="G1469" s="68">
        <v>-1.18E-2</v>
      </c>
      <c r="H1469" s="64"/>
    </row>
    <row r="1470" spans="1:8" x14ac:dyDescent="0.25">
      <c r="A1470" s="65">
        <v>44536</v>
      </c>
      <c r="B1470" s="66">
        <v>16912.25</v>
      </c>
      <c r="C1470" s="66">
        <v>17209.05</v>
      </c>
      <c r="D1470" s="66">
        <v>17216.75</v>
      </c>
      <c r="E1470" s="66">
        <v>16891.7</v>
      </c>
      <c r="F1470" s="67" t="s">
        <v>1257</v>
      </c>
      <c r="G1470" s="68">
        <v>-1.6500000000000001E-2</v>
      </c>
      <c r="H1470" s="64"/>
    </row>
    <row r="1471" spans="1:8" x14ac:dyDescent="0.25">
      <c r="A1471" s="65">
        <v>44537</v>
      </c>
      <c r="B1471" s="66">
        <v>17176.7</v>
      </c>
      <c r="C1471" s="66">
        <v>17044.099999999999</v>
      </c>
      <c r="D1471" s="66">
        <v>17251.650000000001</v>
      </c>
      <c r="E1471" s="66">
        <v>16987.75</v>
      </c>
      <c r="F1471" s="67" t="s">
        <v>1256</v>
      </c>
      <c r="G1471" s="68">
        <v>1.5599999999999999E-2</v>
      </c>
      <c r="H1471" s="64"/>
    </row>
    <row r="1472" spans="1:8" x14ac:dyDescent="0.25">
      <c r="A1472" s="65">
        <v>44538</v>
      </c>
      <c r="B1472" s="66">
        <v>17469.75</v>
      </c>
      <c r="C1472" s="66">
        <v>17315.25</v>
      </c>
      <c r="D1472" s="66">
        <v>17484.599999999999</v>
      </c>
      <c r="E1472" s="66">
        <v>17308.95</v>
      </c>
      <c r="F1472" s="67" t="s">
        <v>1255</v>
      </c>
      <c r="G1472" s="68">
        <v>1.7100000000000001E-2</v>
      </c>
      <c r="H1472" s="64"/>
    </row>
    <row r="1473" spans="1:8" x14ac:dyDescent="0.25">
      <c r="A1473" s="65">
        <v>44539</v>
      </c>
      <c r="B1473" s="66">
        <v>17516.849999999999</v>
      </c>
      <c r="C1473" s="66">
        <v>17524.400000000001</v>
      </c>
      <c r="D1473" s="66">
        <v>17543.25</v>
      </c>
      <c r="E1473" s="66">
        <v>17379.599999999999</v>
      </c>
      <c r="F1473" s="67" t="s">
        <v>1254</v>
      </c>
      <c r="G1473" s="68">
        <v>2.7000000000000001E-3</v>
      </c>
      <c r="H1473" s="64"/>
    </row>
    <row r="1474" spans="1:8" x14ac:dyDescent="0.25">
      <c r="A1474" s="65">
        <v>44540</v>
      </c>
      <c r="B1474" s="66">
        <v>17511.3</v>
      </c>
      <c r="C1474" s="66">
        <v>17476.05</v>
      </c>
      <c r="D1474" s="66">
        <v>17534.349999999999</v>
      </c>
      <c r="E1474" s="66">
        <v>17405.25</v>
      </c>
      <c r="F1474" s="67" t="s">
        <v>1253</v>
      </c>
      <c r="G1474" s="68">
        <v>-2.9999999999999997E-4</v>
      </c>
      <c r="H1474" s="64"/>
    </row>
    <row r="1475" spans="1:8" x14ac:dyDescent="0.25">
      <c r="A1475" s="65">
        <v>44543</v>
      </c>
      <c r="B1475" s="66">
        <v>17368.25</v>
      </c>
      <c r="C1475" s="66">
        <v>17619.099999999999</v>
      </c>
      <c r="D1475" s="66">
        <v>17639.5</v>
      </c>
      <c r="E1475" s="66">
        <v>17355.95</v>
      </c>
      <c r="F1475" s="67" t="s">
        <v>1252</v>
      </c>
      <c r="G1475" s="68">
        <v>-8.2000000000000007E-3</v>
      </c>
      <c r="H1475" s="64"/>
    </row>
    <row r="1476" spans="1:8" x14ac:dyDescent="0.25">
      <c r="A1476" s="65">
        <v>44544</v>
      </c>
      <c r="B1476" s="66">
        <v>17324.900000000001</v>
      </c>
      <c r="C1476" s="66">
        <v>17283.2</v>
      </c>
      <c r="D1476" s="66">
        <v>17376.2</v>
      </c>
      <c r="E1476" s="66">
        <v>17225.8</v>
      </c>
      <c r="F1476" s="67" t="s">
        <v>1251</v>
      </c>
      <c r="G1476" s="68">
        <v>-2.5000000000000001E-3</v>
      </c>
      <c r="H1476" s="64"/>
    </row>
    <row r="1477" spans="1:8" x14ac:dyDescent="0.25">
      <c r="A1477" s="65">
        <v>44545</v>
      </c>
      <c r="B1477" s="66">
        <v>17221.400000000001</v>
      </c>
      <c r="C1477" s="66">
        <v>17323.650000000001</v>
      </c>
      <c r="D1477" s="66">
        <v>17351.2</v>
      </c>
      <c r="E1477" s="66">
        <v>17192.2</v>
      </c>
      <c r="F1477" s="67" t="s">
        <v>1250</v>
      </c>
      <c r="G1477" s="68">
        <v>-6.0000000000000001E-3</v>
      </c>
      <c r="H1477" s="64"/>
    </row>
    <row r="1478" spans="1:8" x14ac:dyDescent="0.25">
      <c r="A1478" s="65">
        <v>44546</v>
      </c>
      <c r="B1478" s="66">
        <v>17248.400000000001</v>
      </c>
      <c r="C1478" s="66">
        <v>17373</v>
      </c>
      <c r="D1478" s="66">
        <v>17379.349999999999</v>
      </c>
      <c r="E1478" s="66">
        <v>17184.95</v>
      </c>
      <c r="F1478" s="67" t="s">
        <v>1249</v>
      </c>
      <c r="G1478" s="68">
        <v>1.6000000000000001E-3</v>
      </c>
      <c r="H1478" s="64"/>
    </row>
    <row r="1479" spans="1:8" x14ac:dyDescent="0.25">
      <c r="A1479" s="65">
        <v>44547</v>
      </c>
      <c r="B1479" s="66">
        <v>16985.2</v>
      </c>
      <c r="C1479" s="66">
        <v>17276</v>
      </c>
      <c r="D1479" s="66">
        <v>17298.150000000001</v>
      </c>
      <c r="E1479" s="66">
        <v>16966.45</v>
      </c>
      <c r="F1479" s="67" t="s">
        <v>1248</v>
      </c>
      <c r="G1479" s="68">
        <v>-1.5299999999999999E-2</v>
      </c>
      <c r="H1479" s="64"/>
    </row>
    <row r="1480" spans="1:8" x14ac:dyDescent="0.25">
      <c r="A1480" s="65">
        <v>44550</v>
      </c>
      <c r="B1480" s="66">
        <v>16614.2</v>
      </c>
      <c r="C1480" s="66">
        <v>16824.25</v>
      </c>
      <c r="D1480" s="66">
        <v>16840.099999999999</v>
      </c>
      <c r="E1480" s="66">
        <v>16410.2</v>
      </c>
      <c r="F1480" s="67" t="s">
        <v>1247</v>
      </c>
      <c r="G1480" s="68">
        <v>-2.18E-2</v>
      </c>
      <c r="H1480" s="64"/>
    </row>
    <row r="1481" spans="1:8" x14ac:dyDescent="0.25">
      <c r="A1481" s="65">
        <v>44551</v>
      </c>
      <c r="B1481" s="66">
        <v>16770.849999999999</v>
      </c>
      <c r="C1481" s="66">
        <v>16773.150000000001</v>
      </c>
      <c r="D1481" s="66">
        <v>16936.400000000001</v>
      </c>
      <c r="E1481" s="66">
        <v>16688.25</v>
      </c>
      <c r="F1481" s="67" t="s">
        <v>1246</v>
      </c>
      <c r="G1481" s="68">
        <v>9.4000000000000004E-3</v>
      </c>
      <c r="H1481" s="64"/>
    </row>
    <row r="1482" spans="1:8" x14ac:dyDescent="0.25">
      <c r="A1482" s="65">
        <v>44552</v>
      </c>
      <c r="B1482" s="66">
        <v>16955.45</v>
      </c>
      <c r="C1482" s="66">
        <v>16865.55</v>
      </c>
      <c r="D1482" s="66">
        <v>16971</v>
      </c>
      <c r="E1482" s="66">
        <v>16819.5</v>
      </c>
      <c r="F1482" s="67" t="s">
        <v>1245</v>
      </c>
      <c r="G1482" s="68">
        <v>1.0999999999999999E-2</v>
      </c>
      <c r="H1482" s="64"/>
    </row>
    <row r="1483" spans="1:8" x14ac:dyDescent="0.25">
      <c r="A1483" s="65">
        <v>44553</v>
      </c>
      <c r="B1483" s="66">
        <v>17072.599999999999</v>
      </c>
      <c r="C1483" s="66">
        <v>17066.8</v>
      </c>
      <c r="D1483" s="66">
        <v>17118.650000000001</v>
      </c>
      <c r="E1483" s="66">
        <v>17015.55</v>
      </c>
      <c r="F1483" s="67" t="s">
        <v>1244</v>
      </c>
      <c r="G1483" s="68">
        <v>6.8999999999999999E-3</v>
      </c>
      <c r="H1483" s="64"/>
    </row>
    <row r="1484" spans="1:8" x14ac:dyDescent="0.25">
      <c r="A1484" s="65">
        <v>44554</v>
      </c>
      <c r="B1484" s="66">
        <v>17003.75</v>
      </c>
      <c r="C1484" s="66">
        <v>17149.5</v>
      </c>
      <c r="D1484" s="66">
        <v>17155.599999999999</v>
      </c>
      <c r="E1484" s="66">
        <v>16909.599999999999</v>
      </c>
      <c r="F1484" s="67" t="s">
        <v>1243</v>
      </c>
      <c r="G1484" s="68">
        <v>-4.0000000000000001E-3</v>
      </c>
      <c r="H1484" s="64"/>
    </row>
    <row r="1485" spans="1:8" x14ac:dyDescent="0.25">
      <c r="A1485" s="65">
        <v>44557</v>
      </c>
      <c r="B1485" s="66">
        <v>17086.25</v>
      </c>
      <c r="C1485" s="66">
        <v>16937.75</v>
      </c>
      <c r="D1485" s="66">
        <v>17112.05</v>
      </c>
      <c r="E1485" s="66">
        <v>16833.2</v>
      </c>
      <c r="F1485" s="67" t="s">
        <v>1242</v>
      </c>
      <c r="G1485" s="68">
        <v>4.8999999999999998E-3</v>
      </c>
      <c r="H1485" s="64"/>
    </row>
    <row r="1486" spans="1:8" x14ac:dyDescent="0.25">
      <c r="A1486" s="65">
        <v>44558</v>
      </c>
      <c r="B1486" s="66">
        <v>17233.25</v>
      </c>
      <c r="C1486" s="66">
        <v>17177.599999999999</v>
      </c>
      <c r="D1486" s="66">
        <v>17250.25</v>
      </c>
      <c r="E1486" s="66">
        <v>17161.150000000001</v>
      </c>
      <c r="F1486" s="67" t="s">
        <v>1241</v>
      </c>
      <c r="G1486" s="68">
        <v>8.6E-3</v>
      </c>
      <c r="H1486" s="64"/>
    </row>
    <row r="1487" spans="1:8" x14ac:dyDescent="0.25">
      <c r="A1487" s="65">
        <v>44559</v>
      </c>
      <c r="B1487" s="66">
        <v>17213.599999999999</v>
      </c>
      <c r="C1487" s="66">
        <v>17220.099999999999</v>
      </c>
      <c r="D1487" s="66">
        <v>17285.95</v>
      </c>
      <c r="E1487" s="66">
        <v>17176.650000000001</v>
      </c>
      <c r="F1487" s="67" t="s">
        <v>1240</v>
      </c>
      <c r="G1487" s="68">
        <v>-1.1000000000000001E-3</v>
      </c>
      <c r="H1487" s="64"/>
    </row>
    <row r="1488" spans="1:8" x14ac:dyDescent="0.25">
      <c r="A1488" s="65">
        <v>44560</v>
      </c>
      <c r="B1488" s="66">
        <v>17203.95</v>
      </c>
      <c r="C1488" s="66">
        <v>17201.45</v>
      </c>
      <c r="D1488" s="66">
        <v>17264.05</v>
      </c>
      <c r="E1488" s="66">
        <v>17146.349999999999</v>
      </c>
      <c r="F1488" s="67" t="s">
        <v>1239</v>
      </c>
      <c r="G1488" s="68">
        <v>-5.9999999999999995E-4</v>
      </c>
      <c r="H1488" s="64"/>
    </row>
    <row r="1489" spans="1:8" x14ac:dyDescent="0.25">
      <c r="A1489" s="65">
        <v>44561</v>
      </c>
      <c r="B1489" s="66">
        <v>17354.05</v>
      </c>
      <c r="C1489" s="66">
        <v>17244.5</v>
      </c>
      <c r="D1489" s="66">
        <v>17400.8</v>
      </c>
      <c r="E1489" s="66">
        <v>17238.5</v>
      </c>
      <c r="F1489" s="67" t="s">
        <v>1238</v>
      </c>
      <c r="G1489" s="68">
        <v>8.6999999999999994E-3</v>
      </c>
      <c r="H1489" s="64"/>
    </row>
    <row r="1490" spans="1:8" x14ac:dyDescent="0.25">
      <c r="A1490" s="65">
        <v>44564</v>
      </c>
      <c r="B1490" s="66">
        <v>17625.7</v>
      </c>
      <c r="C1490" s="66">
        <v>17387.150000000001</v>
      </c>
      <c r="D1490" s="66">
        <v>17646.650000000001</v>
      </c>
      <c r="E1490" s="66">
        <v>17383.3</v>
      </c>
      <c r="F1490" s="67" t="s">
        <v>1237</v>
      </c>
      <c r="G1490" s="68">
        <v>1.5699999999999999E-2</v>
      </c>
      <c r="H1490" s="64"/>
    </row>
    <row r="1491" spans="1:8" x14ac:dyDescent="0.25">
      <c r="A1491" s="65">
        <v>44565</v>
      </c>
      <c r="B1491" s="66">
        <v>17805.25</v>
      </c>
      <c r="C1491" s="66">
        <v>17681.400000000001</v>
      </c>
      <c r="D1491" s="66">
        <v>17827.599999999999</v>
      </c>
      <c r="E1491" s="66">
        <v>17593.55</v>
      </c>
      <c r="F1491" s="67" t="s">
        <v>1236</v>
      </c>
      <c r="G1491" s="68">
        <v>1.0200000000000001E-2</v>
      </c>
      <c r="H1491" s="64"/>
    </row>
    <row r="1492" spans="1:8" x14ac:dyDescent="0.25">
      <c r="A1492" s="65">
        <v>44566</v>
      </c>
      <c r="B1492" s="66">
        <v>17925.25</v>
      </c>
      <c r="C1492" s="66">
        <v>17820.099999999999</v>
      </c>
      <c r="D1492" s="66">
        <v>17944.7</v>
      </c>
      <c r="E1492" s="66">
        <v>17748.849999999999</v>
      </c>
      <c r="F1492" s="67" t="s">
        <v>1235</v>
      </c>
      <c r="G1492" s="68">
        <v>6.7000000000000002E-3</v>
      </c>
      <c r="H1492" s="64"/>
    </row>
    <row r="1493" spans="1:8" x14ac:dyDescent="0.25">
      <c r="A1493" s="65">
        <v>44567</v>
      </c>
      <c r="B1493" s="66">
        <v>17745.900000000001</v>
      </c>
      <c r="C1493" s="66">
        <v>17768.5</v>
      </c>
      <c r="D1493" s="66">
        <v>17797.95</v>
      </c>
      <c r="E1493" s="66">
        <v>17655.55</v>
      </c>
      <c r="F1493" s="67" t="s">
        <v>1234</v>
      </c>
      <c r="G1493" s="68">
        <v>-0.01</v>
      </c>
      <c r="H1493" s="64"/>
    </row>
    <row r="1494" spans="1:8" x14ac:dyDescent="0.25">
      <c r="A1494" s="65">
        <v>44568</v>
      </c>
      <c r="B1494" s="66">
        <v>17812.7</v>
      </c>
      <c r="C1494" s="66">
        <v>17797.599999999999</v>
      </c>
      <c r="D1494" s="66">
        <v>17905</v>
      </c>
      <c r="E1494" s="66">
        <v>17704.55</v>
      </c>
      <c r="F1494" s="67" t="s">
        <v>1233</v>
      </c>
      <c r="G1494" s="68">
        <v>3.8E-3</v>
      </c>
      <c r="H1494" s="64"/>
    </row>
    <row r="1495" spans="1:8" x14ac:dyDescent="0.25">
      <c r="A1495" s="65">
        <v>44571</v>
      </c>
      <c r="B1495" s="66">
        <v>18003.3</v>
      </c>
      <c r="C1495" s="66">
        <v>17913.3</v>
      </c>
      <c r="D1495" s="66">
        <v>18017.45</v>
      </c>
      <c r="E1495" s="66">
        <v>17879.150000000001</v>
      </c>
      <c r="F1495" s="67" t="s">
        <v>1232</v>
      </c>
      <c r="G1495" s="68">
        <v>1.0699999999999999E-2</v>
      </c>
      <c r="H1495" s="64"/>
    </row>
    <row r="1496" spans="1:8" x14ac:dyDescent="0.25">
      <c r="A1496" s="65">
        <v>44572</v>
      </c>
      <c r="B1496" s="66">
        <v>18055.75</v>
      </c>
      <c r="C1496" s="66">
        <v>17997.75</v>
      </c>
      <c r="D1496" s="66">
        <v>18081.25</v>
      </c>
      <c r="E1496" s="66">
        <v>17964.400000000001</v>
      </c>
      <c r="F1496" s="67" t="s">
        <v>1231</v>
      </c>
      <c r="G1496" s="68">
        <v>2.8999999999999998E-3</v>
      </c>
      <c r="H1496" s="64"/>
    </row>
    <row r="1497" spans="1:8" x14ac:dyDescent="0.25">
      <c r="A1497" s="65">
        <v>44573</v>
      </c>
      <c r="B1497" s="66">
        <v>18212.349999999999</v>
      </c>
      <c r="C1497" s="66">
        <v>18170.400000000001</v>
      </c>
      <c r="D1497" s="66">
        <v>18227.95</v>
      </c>
      <c r="E1497" s="66">
        <v>18128.8</v>
      </c>
      <c r="F1497" s="67" t="s">
        <v>1230</v>
      </c>
      <c r="G1497" s="68">
        <v>8.6999999999999994E-3</v>
      </c>
      <c r="H1497" s="64"/>
    </row>
    <row r="1498" spans="1:8" x14ac:dyDescent="0.25">
      <c r="A1498" s="65">
        <v>44574</v>
      </c>
      <c r="B1498" s="66">
        <v>18257.8</v>
      </c>
      <c r="C1498" s="66">
        <v>18257</v>
      </c>
      <c r="D1498" s="66">
        <v>18272.25</v>
      </c>
      <c r="E1498" s="66">
        <v>18163.8</v>
      </c>
      <c r="F1498" s="67" t="s">
        <v>1229</v>
      </c>
      <c r="G1498" s="68">
        <v>2.5000000000000001E-3</v>
      </c>
      <c r="H1498" s="64"/>
    </row>
    <row r="1499" spans="1:8" x14ac:dyDescent="0.25">
      <c r="A1499" s="65">
        <v>44575</v>
      </c>
      <c r="B1499" s="66">
        <v>18255.75</v>
      </c>
      <c r="C1499" s="66">
        <v>18185</v>
      </c>
      <c r="D1499" s="66">
        <v>18286.95</v>
      </c>
      <c r="E1499" s="66">
        <v>18119.650000000001</v>
      </c>
      <c r="F1499" s="67" t="s">
        <v>1228</v>
      </c>
      <c r="G1499" s="68">
        <v>-1E-4</v>
      </c>
      <c r="H1499" s="64"/>
    </row>
    <row r="1500" spans="1:8" x14ac:dyDescent="0.25">
      <c r="A1500" s="65">
        <v>44578</v>
      </c>
      <c r="B1500" s="66">
        <v>18308.099999999999</v>
      </c>
      <c r="C1500" s="66">
        <v>18235.650000000001</v>
      </c>
      <c r="D1500" s="66">
        <v>18321.55</v>
      </c>
      <c r="E1500" s="66">
        <v>18228.75</v>
      </c>
      <c r="F1500" s="67" t="s">
        <v>1227</v>
      </c>
      <c r="G1500" s="68">
        <v>2.8999999999999998E-3</v>
      </c>
      <c r="H1500" s="64"/>
    </row>
    <row r="1501" spans="1:8" x14ac:dyDescent="0.25">
      <c r="A1501" s="65">
        <v>44579</v>
      </c>
      <c r="B1501" s="66">
        <v>18113.05</v>
      </c>
      <c r="C1501" s="66">
        <v>18337.2</v>
      </c>
      <c r="D1501" s="66">
        <v>18350.95</v>
      </c>
      <c r="E1501" s="66">
        <v>18085.900000000001</v>
      </c>
      <c r="F1501" s="67" t="s">
        <v>1226</v>
      </c>
      <c r="G1501" s="68">
        <v>-1.0699999999999999E-2</v>
      </c>
      <c r="H1501" s="64"/>
    </row>
    <row r="1502" spans="1:8" x14ac:dyDescent="0.25">
      <c r="A1502" s="65">
        <v>44580</v>
      </c>
      <c r="B1502" s="66">
        <v>17938.400000000001</v>
      </c>
      <c r="C1502" s="66">
        <v>18129.2</v>
      </c>
      <c r="D1502" s="66">
        <v>18129.2</v>
      </c>
      <c r="E1502" s="66">
        <v>17884.900000000001</v>
      </c>
      <c r="F1502" s="67" t="s">
        <v>1225</v>
      </c>
      <c r="G1502" s="68">
        <v>-9.5999999999999992E-3</v>
      </c>
      <c r="H1502" s="64"/>
    </row>
    <row r="1503" spans="1:8" x14ac:dyDescent="0.25">
      <c r="A1503" s="65">
        <v>44581</v>
      </c>
      <c r="B1503" s="66">
        <v>17757</v>
      </c>
      <c r="C1503" s="66">
        <v>17921</v>
      </c>
      <c r="D1503" s="66">
        <v>17943.7</v>
      </c>
      <c r="E1503" s="66">
        <v>17648.45</v>
      </c>
      <c r="F1503" s="67" t="s">
        <v>1224</v>
      </c>
      <c r="G1503" s="68">
        <v>-1.01E-2</v>
      </c>
      <c r="H1503" s="64"/>
    </row>
    <row r="1504" spans="1:8" x14ac:dyDescent="0.25">
      <c r="A1504" s="65">
        <v>44582</v>
      </c>
      <c r="B1504" s="66">
        <v>17617.150000000001</v>
      </c>
      <c r="C1504" s="66">
        <v>17613.7</v>
      </c>
      <c r="D1504" s="66">
        <v>17707.599999999999</v>
      </c>
      <c r="E1504" s="66">
        <v>17485.849999999999</v>
      </c>
      <c r="F1504" s="67" t="s">
        <v>1010</v>
      </c>
      <c r="G1504" s="68">
        <v>-7.9000000000000008E-3</v>
      </c>
      <c r="H1504" s="64"/>
    </row>
    <row r="1505" spans="1:8" x14ac:dyDescent="0.25">
      <c r="A1505" s="65">
        <v>44585</v>
      </c>
      <c r="B1505" s="66">
        <v>17149.099999999999</v>
      </c>
      <c r="C1505" s="66">
        <v>17575.150000000001</v>
      </c>
      <c r="D1505" s="66">
        <v>17599.400000000001</v>
      </c>
      <c r="E1505" s="66">
        <v>16997.849999999999</v>
      </c>
      <c r="F1505" s="67" t="s">
        <v>1223</v>
      </c>
      <c r="G1505" s="68">
        <v>-2.6599999999999999E-2</v>
      </c>
      <c r="H1505" s="64"/>
    </row>
    <row r="1506" spans="1:8" x14ac:dyDescent="0.25">
      <c r="A1506" s="65">
        <v>44586</v>
      </c>
      <c r="B1506" s="66">
        <v>17277.95</v>
      </c>
      <c r="C1506" s="66">
        <v>17001.55</v>
      </c>
      <c r="D1506" s="66">
        <v>17309.150000000001</v>
      </c>
      <c r="E1506" s="66">
        <v>16836.8</v>
      </c>
      <c r="F1506" s="67" t="s">
        <v>1222</v>
      </c>
      <c r="G1506" s="68">
        <v>7.4999999999999997E-3</v>
      </c>
      <c r="H1506" s="64"/>
    </row>
    <row r="1507" spans="1:8" x14ac:dyDescent="0.25">
      <c r="A1507" s="65">
        <v>44588</v>
      </c>
      <c r="B1507" s="66">
        <v>17110.150000000001</v>
      </c>
      <c r="C1507" s="66">
        <v>17062</v>
      </c>
      <c r="D1507" s="66">
        <v>17182.5</v>
      </c>
      <c r="E1507" s="66">
        <v>16866.75</v>
      </c>
      <c r="F1507" s="67" t="s">
        <v>1221</v>
      </c>
      <c r="G1507" s="68">
        <v>-9.7000000000000003E-3</v>
      </c>
      <c r="H1507" s="64"/>
    </row>
    <row r="1508" spans="1:8" x14ac:dyDescent="0.25">
      <c r="A1508" s="65">
        <v>44589</v>
      </c>
      <c r="B1508" s="66">
        <v>17101.95</v>
      </c>
      <c r="C1508" s="66">
        <v>17208.3</v>
      </c>
      <c r="D1508" s="66">
        <v>17373.5</v>
      </c>
      <c r="E1508" s="66">
        <v>17077.099999999999</v>
      </c>
      <c r="F1508" s="67" t="s">
        <v>1220</v>
      </c>
      <c r="G1508" s="68">
        <v>-5.0000000000000001E-4</v>
      </c>
      <c r="H1508" s="64"/>
    </row>
    <row r="1509" spans="1:8" x14ac:dyDescent="0.25">
      <c r="A1509" s="65">
        <v>44592</v>
      </c>
      <c r="B1509" s="66">
        <v>17339.849999999999</v>
      </c>
      <c r="C1509" s="66">
        <v>17301.05</v>
      </c>
      <c r="D1509" s="66">
        <v>17410</v>
      </c>
      <c r="E1509" s="66">
        <v>17264.150000000001</v>
      </c>
      <c r="F1509" s="67" t="s">
        <v>1219</v>
      </c>
      <c r="G1509" s="68">
        <v>1.3899999999999999E-2</v>
      </c>
      <c r="H1509" s="64"/>
    </row>
    <row r="1510" spans="1:8" x14ac:dyDescent="0.25">
      <c r="A1510" s="65">
        <v>44593</v>
      </c>
      <c r="B1510" s="66">
        <v>17576.849999999999</v>
      </c>
      <c r="C1510" s="66">
        <v>17529.45</v>
      </c>
      <c r="D1510" s="66">
        <v>17622.400000000001</v>
      </c>
      <c r="E1510" s="66">
        <v>17244.55</v>
      </c>
      <c r="F1510" s="67" t="s">
        <v>1218</v>
      </c>
      <c r="G1510" s="68">
        <v>1.37E-2</v>
      </c>
      <c r="H1510" s="64"/>
    </row>
    <row r="1511" spans="1:8" x14ac:dyDescent="0.25">
      <c r="A1511" s="65">
        <v>44594</v>
      </c>
      <c r="B1511" s="66">
        <v>17780</v>
      </c>
      <c r="C1511" s="66">
        <v>17706.2</v>
      </c>
      <c r="D1511" s="66">
        <v>17794.599999999999</v>
      </c>
      <c r="E1511" s="66">
        <v>17674.8</v>
      </c>
      <c r="F1511" s="67" t="s">
        <v>1217</v>
      </c>
      <c r="G1511" s="68">
        <v>1.1599999999999999E-2</v>
      </c>
      <c r="H1511" s="64"/>
    </row>
    <row r="1512" spans="1:8" x14ac:dyDescent="0.25">
      <c r="A1512" s="65">
        <v>44595</v>
      </c>
      <c r="B1512" s="66">
        <v>17560.2</v>
      </c>
      <c r="C1512" s="66">
        <v>17767.75</v>
      </c>
      <c r="D1512" s="66">
        <v>17781.150000000001</v>
      </c>
      <c r="E1512" s="66">
        <v>17511.150000000001</v>
      </c>
      <c r="F1512" s="67" t="s">
        <v>1216</v>
      </c>
      <c r="G1512" s="68">
        <v>-1.24E-2</v>
      </c>
      <c r="H1512" s="64"/>
    </row>
    <row r="1513" spans="1:8" x14ac:dyDescent="0.25">
      <c r="A1513" s="65">
        <v>44596</v>
      </c>
      <c r="B1513" s="66">
        <v>17516.3</v>
      </c>
      <c r="C1513" s="66">
        <v>17590.2</v>
      </c>
      <c r="D1513" s="66">
        <v>17617.8</v>
      </c>
      <c r="E1513" s="66">
        <v>17462.55</v>
      </c>
      <c r="F1513" s="67" t="s">
        <v>1215</v>
      </c>
      <c r="G1513" s="68">
        <v>-2.5000000000000001E-3</v>
      </c>
      <c r="H1513" s="64"/>
    </row>
    <row r="1514" spans="1:8" x14ac:dyDescent="0.25">
      <c r="A1514" s="65">
        <v>44599</v>
      </c>
      <c r="B1514" s="66">
        <v>17213.599999999999</v>
      </c>
      <c r="C1514" s="66">
        <v>17456.3</v>
      </c>
      <c r="D1514" s="66">
        <v>17536.75</v>
      </c>
      <c r="E1514" s="66">
        <v>17119.400000000001</v>
      </c>
      <c r="F1514" s="67" t="s">
        <v>1214</v>
      </c>
      <c r="G1514" s="68">
        <v>-1.7299999999999999E-2</v>
      </c>
      <c r="H1514" s="64"/>
    </row>
    <row r="1515" spans="1:8" x14ac:dyDescent="0.25">
      <c r="A1515" s="65">
        <v>44600</v>
      </c>
      <c r="B1515" s="66">
        <v>17266.75</v>
      </c>
      <c r="C1515" s="66">
        <v>17279.849999999999</v>
      </c>
      <c r="D1515" s="66">
        <v>17306.45</v>
      </c>
      <c r="E1515" s="66">
        <v>17043.650000000001</v>
      </c>
      <c r="F1515" s="67" t="s">
        <v>1213</v>
      </c>
      <c r="G1515" s="68">
        <v>3.0999999999999999E-3</v>
      </c>
      <c r="H1515" s="64"/>
    </row>
    <row r="1516" spans="1:8" x14ac:dyDescent="0.25">
      <c r="A1516" s="65">
        <v>44601</v>
      </c>
      <c r="B1516" s="66">
        <v>17463.8</v>
      </c>
      <c r="C1516" s="66">
        <v>17370.099999999999</v>
      </c>
      <c r="D1516" s="66">
        <v>17477.150000000001</v>
      </c>
      <c r="E1516" s="66">
        <v>17339</v>
      </c>
      <c r="F1516" s="67" t="s">
        <v>1212</v>
      </c>
      <c r="G1516" s="68">
        <v>1.14E-2</v>
      </c>
      <c r="H1516" s="64"/>
    </row>
    <row r="1517" spans="1:8" x14ac:dyDescent="0.25">
      <c r="A1517" s="65">
        <v>44602</v>
      </c>
      <c r="B1517" s="66">
        <v>17605.849999999999</v>
      </c>
      <c r="C1517" s="66">
        <v>17554.099999999999</v>
      </c>
      <c r="D1517" s="66">
        <v>17639.45</v>
      </c>
      <c r="E1517" s="66">
        <v>17427.150000000001</v>
      </c>
      <c r="F1517" s="67" t="s">
        <v>1211</v>
      </c>
      <c r="G1517" s="68">
        <v>8.0999999999999996E-3</v>
      </c>
      <c r="H1517" s="64"/>
    </row>
    <row r="1518" spans="1:8" x14ac:dyDescent="0.25">
      <c r="A1518" s="65">
        <v>44603</v>
      </c>
      <c r="B1518" s="66">
        <v>17374.75</v>
      </c>
      <c r="C1518" s="66">
        <v>17451</v>
      </c>
      <c r="D1518" s="66">
        <v>17454.75</v>
      </c>
      <c r="E1518" s="66">
        <v>17303</v>
      </c>
      <c r="F1518" s="67" t="s">
        <v>1210</v>
      </c>
      <c r="G1518" s="68">
        <v>-1.3100000000000001E-2</v>
      </c>
      <c r="H1518" s="64"/>
    </row>
    <row r="1519" spans="1:8" x14ac:dyDescent="0.25">
      <c r="A1519" s="65">
        <v>44606</v>
      </c>
      <c r="B1519" s="66">
        <v>16842.8</v>
      </c>
      <c r="C1519" s="66">
        <v>17076.150000000001</v>
      </c>
      <c r="D1519" s="66">
        <v>17099.5</v>
      </c>
      <c r="E1519" s="66">
        <v>16809.650000000001</v>
      </c>
      <c r="F1519" s="67" t="s">
        <v>1209</v>
      </c>
      <c r="G1519" s="68">
        <v>-3.0599999999999999E-2</v>
      </c>
      <c r="H1519" s="64"/>
    </row>
    <row r="1520" spans="1:8" x14ac:dyDescent="0.25">
      <c r="A1520" s="65">
        <v>44607</v>
      </c>
      <c r="B1520" s="66">
        <v>17352.45</v>
      </c>
      <c r="C1520" s="66">
        <v>16933.25</v>
      </c>
      <c r="D1520" s="66">
        <v>17375</v>
      </c>
      <c r="E1520" s="66">
        <v>16839.25</v>
      </c>
      <c r="F1520" s="67" t="s">
        <v>1208</v>
      </c>
      <c r="G1520" s="68">
        <v>3.0300000000000001E-2</v>
      </c>
      <c r="H1520" s="64"/>
    </row>
    <row r="1521" spans="1:8" x14ac:dyDescent="0.25">
      <c r="A1521" s="65">
        <v>44608</v>
      </c>
      <c r="B1521" s="66">
        <v>17322.2</v>
      </c>
      <c r="C1521" s="66">
        <v>17408.45</v>
      </c>
      <c r="D1521" s="66">
        <v>17490.599999999999</v>
      </c>
      <c r="E1521" s="66">
        <v>17257.7</v>
      </c>
      <c r="F1521" s="67" t="s">
        <v>1207</v>
      </c>
      <c r="G1521" s="68">
        <v>-1.6999999999999999E-3</v>
      </c>
      <c r="H1521" s="64"/>
    </row>
    <row r="1522" spans="1:8" x14ac:dyDescent="0.25">
      <c r="A1522" s="65">
        <v>44609</v>
      </c>
      <c r="B1522" s="66">
        <v>17304.599999999999</v>
      </c>
      <c r="C1522" s="66">
        <v>17396.55</v>
      </c>
      <c r="D1522" s="66">
        <v>17442.900000000001</v>
      </c>
      <c r="E1522" s="66">
        <v>17235.849999999999</v>
      </c>
      <c r="F1522" s="67" t="s">
        <v>1206</v>
      </c>
      <c r="G1522" s="68">
        <v>-1E-3</v>
      </c>
      <c r="H1522" s="64"/>
    </row>
    <row r="1523" spans="1:8" x14ac:dyDescent="0.25">
      <c r="A1523" s="65">
        <v>44610</v>
      </c>
      <c r="B1523" s="66">
        <v>17276.3</v>
      </c>
      <c r="C1523" s="66">
        <v>17236.05</v>
      </c>
      <c r="D1523" s="66">
        <v>17380.8</v>
      </c>
      <c r="E1523" s="66">
        <v>17219.2</v>
      </c>
      <c r="F1523" s="67" t="s">
        <v>1205</v>
      </c>
      <c r="G1523" s="68">
        <v>-1.6000000000000001E-3</v>
      </c>
      <c r="H1523" s="64"/>
    </row>
    <row r="1524" spans="1:8" x14ac:dyDescent="0.25">
      <c r="A1524" s="65">
        <v>44613</v>
      </c>
      <c r="B1524" s="66">
        <v>17206.650000000001</v>
      </c>
      <c r="C1524" s="66">
        <v>17192.25</v>
      </c>
      <c r="D1524" s="66">
        <v>17351.05</v>
      </c>
      <c r="E1524" s="66">
        <v>17070.7</v>
      </c>
      <c r="F1524" s="67" t="s">
        <v>1204</v>
      </c>
      <c r="G1524" s="68">
        <v>-4.0000000000000001E-3</v>
      </c>
      <c r="H1524" s="64"/>
    </row>
    <row r="1525" spans="1:8" x14ac:dyDescent="0.25">
      <c r="A1525" s="65">
        <v>44614</v>
      </c>
      <c r="B1525" s="66">
        <v>17092.2</v>
      </c>
      <c r="C1525" s="66">
        <v>16847.95</v>
      </c>
      <c r="D1525" s="66">
        <v>17148.55</v>
      </c>
      <c r="E1525" s="66">
        <v>16843.8</v>
      </c>
      <c r="F1525" s="67" t="s">
        <v>1203</v>
      </c>
      <c r="G1525" s="68">
        <v>-6.7000000000000002E-3</v>
      </c>
      <c r="H1525" s="64"/>
    </row>
    <row r="1526" spans="1:8" x14ac:dyDescent="0.25">
      <c r="A1526" s="65">
        <v>44615</v>
      </c>
      <c r="B1526" s="66">
        <v>17063.25</v>
      </c>
      <c r="C1526" s="66">
        <v>17194.5</v>
      </c>
      <c r="D1526" s="66">
        <v>17220.7</v>
      </c>
      <c r="E1526" s="66">
        <v>17027.849999999999</v>
      </c>
      <c r="F1526" s="67" t="s">
        <v>1202</v>
      </c>
      <c r="G1526" s="68">
        <v>-1.6999999999999999E-3</v>
      </c>
      <c r="H1526" s="64"/>
    </row>
    <row r="1527" spans="1:8" x14ac:dyDescent="0.25">
      <c r="A1527" s="65">
        <v>44616</v>
      </c>
      <c r="B1527" s="66">
        <v>16247.95</v>
      </c>
      <c r="C1527" s="66">
        <v>16548.900000000001</v>
      </c>
      <c r="D1527" s="66">
        <v>16705.25</v>
      </c>
      <c r="E1527" s="66">
        <v>16203.25</v>
      </c>
      <c r="F1527" s="67" t="s">
        <v>1201</v>
      </c>
      <c r="G1527" s="68">
        <v>-4.7800000000000002E-2</v>
      </c>
      <c r="H1527" s="64"/>
    </row>
    <row r="1528" spans="1:8" x14ac:dyDescent="0.25">
      <c r="A1528" s="65">
        <v>44617</v>
      </c>
      <c r="B1528" s="66">
        <v>16658.400000000001</v>
      </c>
      <c r="C1528" s="66">
        <v>16515.650000000001</v>
      </c>
      <c r="D1528" s="66">
        <v>16748.8</v>
      </c>
      <c r="E1528" s="66">
        <v>16478.3</v>
      </c>
      <c r="F1528" s="67" t="s">
        <v>1200</v>
      </c>
      <c r="G1528" s="68">
        <v>2.53E-2</v>
      </c>
      <c r="H1528" s="64"/>
    </row>
    <row r="1529" spans="1:8" x14ac:dyDescent="0.25">
      <c r="A1529" s="65">
        <v>44620</v>
      </c>
      <c r="B1529" s="66">
        <v>16793.900000000001</v>
      </c>
      <c r="C1529" s="66">
        <v>16481.599999999999</v>
      </c>
      <c r="D1529" s="66">
        <v>16815.900000000001</v>
      </c>
      <c r="E1529" s="66">
        <v>16356.3</v>
      </c>
      <c r="F1529" s="67" t="s">
        <v>1199</v>
      </c>
      <c r="G1529" s="68">
        <v>8.0999999999999996E-3</v>
      </c>
      <c r="H1529" s="64"/>
    </row>
    <row r="1530" spans="1:8" x14ac:dyDescent="0.25">
      <c r="A1530" s="65">
        <v>44622</v>
      </c>
      <c r="B1530" s="66">
        <v>16605.95</v>
      </c>
      <c r="C1530" s="66">
        <v>16593.099999999999</v>
      </c>
      <c r="D1530" s="66">
        <v>16678.5</v>
      </c>
      <c r="E1530" s="66">
        <v>16478.650000000001</v>
      </c>
      <c r="F1530" s="67" t="s">
        <v>1198</v>
      </c>
      <c r="G1530" s="68">
        <v>-1.12E-2</v>
      </c>
      <c r="H1530" s="64"/>
    </row>
    <row r="1531" spans="1:8" x14ac:dyDescent="0.25">
      <c r="A1531" s="65">
        <v>44623</v>
      </c>
      <c r="B1531" s="66">
        <v>16498.05</v>
      </c>
      <c r="C1531" s="66">
        <v>16723.2</v>
      </c>
      <c r="D1531" s="66">
        <v>16768.95</v>
      </c>
      <c r="E1531" s="66">
        <v>16442.95</v>
      </c>
      <c r="F1531" s="67" t="s">
        <v>1197</v>
      </c>
      <c r="G1531" s="68">
        <v>-6.4999999999999997E-3</v>
      </c>
      <c r="H1531" s="64"/>
    </row>
    <row r="1532" spans="1:8" x14ac:dyDescent="0.25">
      <c r="A1532" s="65">
        <v>44624</v>
      </c>
      <c r="B1532" s="66">
        <v>16245.35</v>
      </c>
      <c r="C1532" s="66">
        <v>16339.45</v>
      </c>
      <c r="D1532" s="66">
        <v>16456</v>
      </c>
      <c r="E1532" s="66">
        <v>16133.8</v>
      </c>
      <c r="F1532" s="67" t="s">
        <v>1196</v>
      </c>
      <c r="G1532" s="68">
        <v>-1.5299999999999999E-2</v>
      </c>
      <c r="H1532" s="64"/>
    </row>
    <row r="1533" spans="1:8" x14ac:dyDescent="0.25">
      <c r="A1533" s="65">
        <v>44627</v>
      </c>
      <c r="B1533" s="66">
        <v>15863.15</v>
      </c>
      <c r="C1533" s="66">
        <v>15867.95</v>
      </c>
      <c r="D1533" s="66">
        <v>15944.6</v>
      </c>
      <c r="E1533" s="66">
        <v>15711.45</v>
      </c>
      <c r="F1533" s="67" t="s">
        <v>1195</v>
      </c>
      <c r="G1533" s="68">
        <v>-2.35E-2</v>
      </c>
      <c r="H1533" s="64"/>
    </row>
    <row r="1534" spans="1:8" x14ac:dyDescent="0.25">
      <c r="A1534" s="65">
        <v>44628</v>
      </c>
      <c r="B1534" s="66">
        <v>16013.45</v>
      </c>
      <c r="C1534" s="66">
        <v>15747.75</v>
      </c>
      <c r="D1534" s="66">
        <v>16028.75</v>
      </c>
      <c r="E1534" s="66">
        <v>15671.45</v>
      </c>
      <c r="F1534" s="67" t="s">
        <v>1194</v>
      </c>
      <c r="G1534" s="68">
        <v>9.4999999999999998E-3</v>
      </c>
      <c r="H1534" s="64"/>
    </row>
    <row r="1535" spans="1:8" x14ac:dyDescent="0.25">
      <c r="A1535" s="65">
        <v>44629</v>
      </c>
      <c r="B1535" s="66">
        <v>16345.35</v>
      </c>
      <c r="C1535" s="66">
        <v>16078</v>
      </c>
      <c r="D1535" s="66">
        <v>16418.05</v>
      </c>
      <c r="E1535" s="66">
        <v>15990</v>
      </c>
      <c r="F1535" s="67" t="s">
        <v>1193</v>
      </c>
      <c r="G1535" s="68">
        <v>2.07E-2</v>
      </c>
      <c r="H1535" s="64"/>
    </row>
    <row r="1536" spans="1:8" x14ac:dyDescent="0.25">
      <c r="A1536" s="65">
        <v>44630</v>
      </c>
      <c r="B1536" s="66">
        <v>16594.900000000001</v>
      </c>
      <c r="C1536" s="66">
        <v>16757.099999999999</v>
      </c>
      <c r="D1536" s="66">
        <v>16757.3</v>
      </c>
      <c r="E1536" s="66">
        <v>16447.900000000001</v>
      </c>
      <c r="F1536" s="67" t="s">
        <v>1192</v>
      </c>
      <c r="G1536" s="68">
        <v>1.5299999999999999E-2</v>
      </c>
      <c r="H1536" s="64"/>
    </row>
    <row r="1537" spans="1:8" x14ac:dyDescent="0.25">
      <c r="A1537" s="65">
        <v>44631</v>
      </c>
      <c r="B1537" s="66">
        <v>16630.45</v>
      </c>
      <c r="C1537" s="66">
        <v>16528.8</v>
      </c>
      <c r="D1537" s="66">
        <v>16694.400000000001</v>
      </c>
      <c r="E1537" s="66">
        <v>16470.900000000001</v>
      </c>
      <c r="F1537" s="67" t="s">
        <v>1191</v>
      </c>
      <c r="G1537" s="68">
        <v>2.0999999999999999E-3</v>
      </c>
      <c r="H1537" s="64"/>
    </row>
    <row r="1538" spans="1:8" x14ac:dyDescent="0.25">
      <c r="A1538" s="65">
        <v>44634</v>
      </c>
      <c r="B1538" s="66">
        <v>16871.3</v>
      </c>
      <c r="C1538" s="66">
        <v>16633.7</v>
      </c>
      <c r="D1538" s="66">
        <v>16887.95</v>
      </c>
      <c r="E1538" s="66">
        <v>16606.5</v>
      </c>
      <c r="F1538" s="67" t="s">
        <v>1190</v>
      </c>
      <c r="G1538" s="68">
        <v>1.4500000000000001E-2</v>
      </c>
      <c r="H1538" s="64"/>
    </row>
    <row r="1539" spans="1:8" x14ac:dyDescent="0.25">
      <c r="A1539" s="65">
        <v>44635</v>
      </c>
      <c r="B1539" s="66">
        <v>16663</v>
      </c>
      <c r="C1539" s="66">
        <v>16900.650000000001</v>
      </c>
      <c r="D1539" s="66">
        <v>16927.75</v>
      </c>
      <c r="E1539" s="66">
        <v>16555</v>
      </c>
      <c r="F1539" s="67" t="s">
        <v>1189</v>
      </c>
      <c r="G1539" s="68">
        <v>-1.23E-2</v>
      </c>
      <c r="H1539" s="64"/>
    </row>
    <row r="1540" spans="1:8" x14ac:dyDescent="0.25">
      <c r="A1540" s="65">
        <v>44636</v>
      </c>
      <c r="B1540" s="66">
        <v>16975.349999999999</v>
      </c>
      <c r="C1540" s="66">
        <v>16876.650000000001</v>
      </c>
      <c r="D1540" s="66">
        <v>16987.900000000001</v>
      </c>
      <c r="E1540" s="66">
        <v>16837.849999999999</v>
      </c>
      <c r="F1540" s="67" t="s">
        <v>1188</v>
      </c>
      <c r="G1540" s="68">
        <v>1.8700000000000001E-2</v>
      </c>
      <c r="H1540" s="64"/>
    </row>
    <row r="1541" spans="1:8" x14ac:dyDescent="0.25">
      <c r="A1541" s="65">
        <v>44637</v>
      </c>
      <c r="B1541" s="66">
        <v>17287.05</v>
      </c>
      <c r="C1541" s="66">
        <v>17202.900000000001</v>
      </c>
      <c r="D1541" s="66">
        <v>17344.599999999999</v>
      </c>
      <c r="E1541" s="66">
        <v>17175.75</v>
      </c>
      <c r="F1541" s="67" t="s">
        <v>1187</v>
      </c>
      <c r="G1541" s="68">
        <v>1.84E-2</v>
      </c>
      <c r="H1541" s="64"/>
    </row>
    <row r="1542" spans="1:8" x14ac:dyDescent="0.25">
      <c r="A1542" s="65">
        <v>44641</v>
      </c>
      <c r="B1542" s="66">
        <v>17117.599999999999</v>
      </c>
      <c r="C1542" s="66">
        <v>17329.5</v>
      </c>
      <c r="D1542" s="66">
        <v>17353.349999999999</v>
      </c>
      <c r="E1542" s="66">
        <v>17096.400000000001</v>
      </c>
      <c r="F1542" s="67" t="s">
        <v>1186</v>
      </c>
      <c r="G1542" s="68">
        <v>-9.7999999999999997E-3</v>
      </c>
      <c r="H1542" s="64"/>
    </row>
    <row r="1543" spans="1:8" x14ac:dyDescent="0.25">
      <c r="A1543" s="65">
        <v>44642</v>
      </c>
      <c r="B1543" s="66">
        <v>17315.5</v>
      </c>
      <c r="C1543" s="66">
        <v>17120.400000000001</v>
      </c>
      <c r="D1543" s="66">
        <v>17334.400000000001</v>
      </c>
      <c r="E1543" s="66">
        <v>17006.3</v>
      </c>
      <c r="F1543" s="67" t="s">
        <v>1185</v>
      </c>
      <c r="G1543" s="68">
        <v>1.1599999999999999E-2</v>
      </c>
      <c r="H1543" s="64"/>
    </row>
    <row r="1544" spans="1:8" x14ac:dyDescent="0.25">
      <c r="A1544" s="65">
        <v>44643</v>
      </c>
      <c r="B1544" s="66">
        <v>17245.650000000001</v>
      </c>
      <c r="C1544" s="66">
        <v>17405.05</v>
      </c>
      <c r="D1544" s="66">
        <v>17442.400000000001</v>
      </c>
      <c r="E1544" s="66">
        <v>17199.599999999999</v>
      </c>
      <c r="F1544" s="67" t="s">
        <v>1184</v>
      </c>
      <c r="G1544" s="68">
        <v>-4.0000000000000001E-3</v>
      </c>
      <c r="H1544" s="64"/>
    </row>
    <row r="1545" spans="1:8" x14ac:dyDescent="0.25">
      <c r="A1545" s="65">
        <v>44644</v>
      </c>
      <c r="B1545" s="66">
        <v>17222.75</v>
      </c>
      <c r="C1545" s="66">
        <v>17094.95</v>
      </c>
      <c r="D1545" s="66">
        <v>17291.75</v>
      </c>
      <c r="E1545" s="66">
        <v>17091.150000000001</v>
      </c>
      <c r="F1545" s="67" t="s">
        <v>1183</v>
      </c>
      <c r="G1545" s="68">
        <v>-1.2999999999999999E-3</v>
      </c>
      <c r="H1545" s="64"/>
    </row>
    <row r="1546" spans="1:8" x14ac:dyDescent="0.25">
      <c r="A1546" s="65">
        <v>44645</v>
      </c>
      <c r="B1546" s="66">
        <v>17153</v>
      </c>
      <c r="C1546" s="66">
        <v>17289</v>
      </c>
      <c r="D1546" s="66">
        <v>17294.900000000001</v>
      </c>
      <c r="E1546" s="66">
        <v>17076.55</v>
      </c>
      <c r="F1546" s="67" t="s">
        <v>1182</v>
      </c>
      <c r="G1546" s="68">
        <v>-4.0000000000000001E-3</v>
      </c>
      <c r="H1546" s="64"/>
    </row>
    <row r="1547" spans="1:8" x14ac:dyDescent="0.25">
      <c r="A1547" s="65">
        <v>44648</v>
      </c>
      <c r="B1547" s="66">
        <v>17222</v>
      </c>
      <c r="C1547" s="66">
        <v>17181.849999999999</v>
      </c>
      <c r="D1547" s="66">
        <v>17235.099999999999</v>
      </c>
      <c r="E1547" s="66">
        <v>17003.900000000001</v>
      </c>
      <c r="F1547" s="67" t="s">
        <v>1181</v>
      </c>
      <c r="G1547" s="68">
        <v>4.0000000000000001E-3</v>
      </c>
      <c r="H1547" s="64"/>
    </row>
    <row r="1548" spans="1:8" x14ac:dyDescent="0.25">
      <c r="A1548" s="65">
        <v>44649</v>
      </c>
      <c r="B1548" s="66">
        <v>17325.3</v>
      </c>
      <c r="C1548" s="66">
        <v>17297.2</v>
      </c>
      <c r="D1548" s="66">
        <v>17343.650000000001</v>
      </c>
      <c r="E1548" s="66">
        <v>17235.7</v>
      </c>
      <c r="F1548" s="67" t="s">
        <v>1180</v>
      </c>
      <c r="G1548" s="68">
        <v>6.0000000000000001E-3</v>
      </c>
      <c r="H1548" s="64"/>
    </row>
    <row r="1549" spans="1:8" x14ac:dyDescent="0.25">
      <c r="A1549" s="65">
        <v>44650</v>
      </c>
      <c r="B1549" s="66">
        <v>17498.25</v>
      </c>
      <c r="C1549" s="66">
        <v>17468.150000000001</v>
      </c>
      <c r="D1549" s="66">
        <v>17522.5</v>
      </c>
      <c r="E1549" s="66">
        <v>17387.2</v>
      </c>
      <c r="F1549" s="67" t="s">
        <v>1179</v>
      </c>
      <c r="G1549" s="68">
        <v>0.01</v>
      </c>
      <c r="H1549" s="64"/>
    </row>
    <row r="1550" spans="1:8" x14ac:dyDescent="0.25">
      <c r="A1550" s="65">
        <v>44651</v>
      </c>
      <c r="B1550" s="66">
        <v>17464.75</v>
      </c>
      <c r="C1550" s="66">
        <v>17519.2</v>
      </c>
      <c r="D1550" s="66">
        <v>17559.8</v>
      </c>
      <c r="E1550" s="66">
        <v>17435.2</v>
      </c>
      <c r="F1550" s="67" t="s">
        <v>1178</v>
      </c>
      <c r="G1550" s="68">
        <v>-1.9E-3</v>
      </c>
      <c r="H1550" s="64"/>
    </row>
    <row r="1551" spans="1:8" x14ac:dyDescent="0.25">
      <c r="A1551" s="65">
        <v>44652</v>
      </c>
      <c r="B1551" s="66">
        <v>17670.45</v>
      </c>
      <c r="C1551" s="66">
        <v>17436.900000000001</v>
      </c>
      <c r="D1551" s="66">
        <v>17703.7</v>
      </c>
      <c r="E1551" s="66">
        <v>17422.7</v>
      </c>
      <c r="F1551" s="67" t="s">
        <v>1177</v>
      </c>
      <c r="G1551" s="68">
        <v>1.18E-2</v>
      </c>
      <c r="H1551" s="64"/>
    </row>
    <row r="1552" spans="1:8" x14ac:dyDescent="0.25">
      <c r="A1552" s="65">
        <v>44655</v>
      </c>
      <c r="B1552" s="66">
        <v>18053.400000000001</v>
      </c>
      <c r="C1552" s="66">
        <v>17809.099999999999</v>
      </c>
      <c r="D1552" s="66">
        <v>18114.650000000001</v>
      </c>
      <c r="E1552" s="66">
        <v>17791.400000000001</v>
      </c>
      <c r="F1552" s="67" t="s">
        <v>1176</v>
      </c>
      <c r="G1552" s="68">
        <v>2.1700000000000001E-2</v>
      </c>
      <c r="H1552" s="64"/>
    </row>
    <row r="1553" spans="1:8" x14ac:dyDescent="0.25">
      <c r="A1553" s="65">
        <v>44656</v>
      </c>
      <c r="B1553" s="66">
        <v>17957.400000000001</v>
      </c>
      <c r="C1553" s="66">
        <v>18080.599999999999</v>
      </c>
      <c r="D1553" s="66">
        <v>18095.45</v>
      </c>
      <c r="E1553" s="66">
        <v>17921.55</v>
      </c>
      <c r="F1553" s="67" t="s">
        <v>1175</v>
      </c>
      <c r="G1553" s="68">
        <v>-5.3E-3</v>
      </c>
      <c r="H1553" s="64"/>
    </row>
    <row r="1554" spans="1:8" x14ac:dyDescent="0.25">
      <c r="A1554" s="65">
        <v>44657</v>
      </c>
      <c r="B1554" s="66">
        <v>17807.650000000001</v>
      </c>
      <c r="C1554" s="66">
        <v>17842.75</v>
      </c>
      <c r="D1554" s="66">
        <v>17901</v>
      </c>
      <c r="E1554" s="66">
        <v>17779.849999999999</v>
      </c>
      <c r="F1554" s="67" t="s">
        <v>1174</v>
      </c>
      <c r="G1554" s="68">
        <v>-8.3000000000000001E-3</v>
      </c>
      <c r="H1554" s="64"/>
    </row>
    <row r="1555" spans="1:8" x14ac:dyDescent="0.25">
      <c r="A1555" s="65">
        <v>44658</v>
      </c>
      <c r="B1555" s="66">
        <v>17639.55</v>
      </c>
      <c r="C1555" s="66">
        <v>17723.3</v>
      </c>
      <c r="D1555" s="66">
        <v>17787.5</v>
      </c>
      <c r="E1555" s="66">
        <v>17623.7</v>
      </c>
      <c r="F1555" s="67" t="s">
        <v>1173</v>
      </c>
      <c r="G1555" s="68">
        <v>-9.4000000000000004E-3</v>
      </c>
      <c r="H1555" s="64"/>
    </row>
    <row r="1556" spans="1:8" x14ac:dyDescent="0.25">
      <c r="A1556" s="65">
        <v>44659</v>
      </c>
      <c r="B1556" s="66">
        <v>17784.349999999999</v>
      </c>
      <c r="C1556" s="66">
        <v>17698.150000000001</v>
      </c>
      <c r="D1556" s="66">
        <v>17842.75</v>
      </c>
      <c r="E1556" s="66">
        <v>17600.55</v>
      </c>
      <c r="F1556" s="67" t="s">
        <v>1172</v>
      </c>
      <c r="G1556" s="68">
        <v>8.2000000000000007E-3</v>
      </c>
      <c r="H1556" s="64"/>
    </row>
    <row r="1557" spans="1:8" x14ac:dyDescent="0.25">
      <c r="A1557" s="65">
        <v>44662</v>
      </c>
      <c r="B1557" s="66">
        <v>17674.95</v>
      </c>
      <c r="C1557" s="66">
        <v>17740.900000000001</v>
      </c>
      <c r="D1557" s="66">
        <v>17779.05</v>
      </c>
      <c r="E1557" s="66">
        <v>17650.95</v>
      </c>
      <c r="F1557" s="67" t="s">
        <v>1171</v>
      </c>
      <c r="G1557" s="68">
        <v>-6.1999999999999998E-3</v>
      </c>
      <c r="H1557" s="64"/>
    </row>
    <row r="1558" spans="1:8" x14ac:dyDescent="0.25">
      <c r="A1558" s="65">
        <v>44663</v>
      </c>
      <c r="B1558" s="66">
        <v>17530.3</v>
      </c>
      <c r="C1558" s="66">
        <v>17584.849999999999</v>
      </c>
      <c r="D1558" s="66">
        <v>17595.3</v>
      </c>
      <c r="E1558" s="66">
        <v>17442.349999999999</v>
      </c>
      <c r="F1558" s="67" t="s">
        <v>1170</v>
      </c>
      <c r="G1558" s="68">
        <v>-8.2000000000000007E-3</v>
      </c>
      <c r="H1558" s="64"/>
    </row>
    <row r="1559" spans="1:8" x14ac:dyDescent="0.25">
      <c r="A1559" s="65">
        <v>44664</v>
      </c>
      <c r="B1559" s="66">
        <v>17475.650000000001</v>
      </c>
      <c r="C1559" s="66">
        <v>17599.900000000001</v>
      </c>
      <c r="D1559" s="66">
        <v>17663.650000000001</v>
      </c>
      <c r="E1559" s="66">
        <v>17457.400000000001</v>
      </c>
      <c r="F1559" s="67" t="s">
        <v>1169</v>
      </c>
      <c r="G1559" s="68">
        <v>-3.0999999999999999E-3</v>
      </c>
      <c r="H1559" s="64"/>
    </row>
    <row r="1560" spans="1:8" x14ac:dyDescent="0.25">
      <c r="A1560" s="65">
        <v>44669</v>
      </c>
      <c r="B1560" s="66">
        <v>17173.650000000001</v>
      </c>
      <c r="C1560" s="66">
        <v>17183.45</v>
      </c>
      <c r="D1560" s="66">
        <v>17237.75</v>
      </c>
      <c r="E1560" s="66">
        <v>17067.849999999999</v>
      </c>
      <c r="F1560" s="67" t="s">
        <v>1168</v>
      </c>
      <c r="G1560" s="68">
        <v>-1.7299999999999999E-2</v>
      </c>
      <c r="H1560" s="64"/>
    </row>
    <row r="1561" spans="1:8" x14ac:dyDescent="0.25">
      <c r="A1561" s="65">
        <v>44670</v>
      </c>
      <c r="B1561" s="66">
        <v>16958.650000000001</v>
      </c>
      <c r="C1561" s="66">
        <v>17258.95</v>
      </c>
      <c r="D1561" s="66">
        <v>17275.650000000001</v>
      </c>
      <c r="E1561" s="66">
        <v>16824.7</v>
      </c>
      <c r="F1561" s="67" t="s">
        <v>1167</v>
      </c>
      <c r="G1561" s="68">
        <v>-1.2500000000000001E-2</v>
      </c>
      <c r="H1561" s="64"/>
    </row>
    <row r="1562" spans="1:8" x14ac:dyDescent="0.25">
      <c r="A1562" s="65">
        <v>44671</v>
      </c>
      <c r="B1562" s="66">
        <v>17136.55</v>
      </c>
      <c r="C1562" s="66">
        <v>17045.25</v>
      </c>
      <c r="D1562" s="66">
        <v>17186.900000000001</v>
      </c>
      <c r="E1562" s="66">
        <v>16978.95</v>
      </c>
      <c r="F1562" s="67" t="s">
        <v>1166</v>
      </c>
      <c r="G1562" s="68">
        <v>1.0500000000000001E-2</v>
      </c>
      <c r="H1562" s="64"/>
    </row>
    <row r="1563" spans="1:8" x14ac:dyDescent="0.25">
      <c r="A1563" s="65">
        <v>44672</v>
      </c>
      <c r="B1563" s="66">
        <v>17392.599999999999</v>
      </c>
      <c r="C1563" s="66">
        <v>17234.599999999999</v>
      </c>
      <c r="D1563" s="66">
        <v>17414.7</v>
      </c>
      <c r="E1563" s="66">
        <v>17215.5</v>
      </c>
      <c r="F1563" s="67" t="s">
        <v>559</v>
      </c>
      <c r="G1563" s="68">
        <v>1.49E-2</v>
      </c>
      <c r="H1563" s="64"/>
    </row>
    <row r="1564" spans="1:8" x14ac:dyDescent="0.25">
      <c r="A1564" s="65">
        <v>44673</v>
      </c>
      <c r="B1564" s="66">
        <v>17171.95</v>
      </c>
      <c r="C1564" s="66">
        <v>17242.75</v>
      </c>
      <c r="D1564" s="66">
        <v>17315.3</v>
      </c>
      <c r="E1564" s="66">
        <v>17149.2</v>
      </c>
      <c r="F1564" s="67" t="s">
        <v>1165</v>
      </c>
      <c r="G1564" s="68">
        <v>-1.2699999999999999E-2</v>
      </c>
      <c r="H1564" s="64"/>
    </row>
    <row r="1565" spans="1:8" x14ac:dyDescent="0.25">
      <c r="A1565" s="65">
        <v>44676</v>
      </c>
      <c r="B1565" s="66">
        <v>16953.95</v>
      </c>
      <c r="C1565" s="66">
        <v>17009.05</v>
      </c>
      <c r="D1565" s="66">
        <v>17054.3</v>
      </c>
      <c r="E1565" s="66">
        <v>16888.7</v>
      </c>
      <c r="F1565" s="67" t="s">
        <v>1164</v>
      </c>
      <c r="G1565" s="68">
        <v>-1.2699999999999999E-2</v>
      </c>
      <c r="H1565" s="64"/>
    </row>
    <row r="1566" spans="1:8" x14ac:dyDescent="0.25">
      <c r="A1566" s="65">
        <v>44677</v>
      </c>
      <c r="B1566" s="66">
        <v>17200.8</v>
      </c>
      <c r="C1566" s="66">
        <v>17121.3</v>
      </c>
      <c r="D1566" s="66">
        <v>17223.849999999999</v>
      </c>
      <c r="E1566" s="66">
        <v>17064.45</v>
      </c>
      <c r="F1566" s="67" t="s">
        <v>1163</v>
      </c>
      <c r="G1566" s="68">
        <v>1.46E-2</v>
      </c>
      <c r="H1566" s="64"/>
    </row>
    <row r="1567" spans="1:8" x14ac:dyDescent="0.25">
      <c r="A1567" s="65">
        <v>44678</v>
      </c>
      <c r="B1567" s="66">
        <v>17038.400000000001</v>
      </c>
      <c r="C1567" s="66">
        <v>17073.349999999999</v>
      </c>
      <c r="D1567" s="66">
        <v>17110.7</v>
      </c>
      <c r="E1567" s="66">
        <v>16958.45</v>
      </c>
      <c r="F1567" s="67" t="s">
        <v>1162</v>
      </c>
      <c r="G1567" s="68">
        <v>-9.4000000000000004E-3</v>
      </c>
      <c r="H1567" s="64"/>
    </row>
    <row r="1568" spans="1:8" x14ac:dyDescent="0.25">
      <c r="A1568" s="65">
        <v>44679</v>
      </c>
      <c r="B1568" s="66">
        <v>17245.05</v>
      </c>
      <c r="C1568" s="66">
        <v>17189.5</v>
      </c>
      <c r="D1568" s="66">
        <v>17322.5</v>
      </c>
      <c r="E1568" s="66">
        <v>17071.05</v>
      </c>
      <c r="F1568" s="67" t="s">
        <v>1161</v>
      </c>
      <c r="G1568" s="68">
        <v>1.21E-2</v>
      </c>
      <c r="H1568" s="64"/>
    </row>
    <row r="1569" spans="1:8" x14ac:dyDescent="0.25">
      <c r="A1569" s="65">
        <v>44680</v>
      </c>
      <c r="B1569" s="66">
        <v>17102.55</v>
      </c>
      <c r="C1569" s="66">
        <v>17329.25</v>
      </c>
      <c r="D1569" s="66">
        <v>17377.650000000001</v>
      </c>
      <c r="E1569" s="66">
        <v>17053.25</v>
      </c>
      <c r="F1569" s="67" t="s">
        <v>1160</v>
      </c>
      <c r="G1569" s="68">
        <v>-8.3000000000000001E-3</v>
      </c>
      <c r="H1569" s="64"/>
    </row>
    <row r="1570" spans="1:8" x14ac:dyDescent="0.25">
      <c r="A1570" s="65">
        <v>44683</v>
      </c>
      <c r="B1570" s="66">
        <v>17069.099999999999</v>
      </c>
      <c r="C1570" s="66">
        <v>16924.45</v>
      </c>
      <c r="D1570" s="66">
        <v>17092.25</v>
      </c>
      <c r="E1570" s="66">
        <v>16917.25</v>
      </c>
      <c r="F1570" s="67" t="s">
        <v>1159</v>
      </c>
      <c r="G1570" s="68">
        <v>-2E-3</v>
      </c>
      <c r="H1570" s="64"/>
    </row>
    <row r="1571" spans="1:8" x14ac:dyDescent="0.25">
      <c r="A1571" s="65">
        <v>44685</v>
      </c>
      <c r="B1571" s="66">
        <v>16677.599999999999</v>
      </c>
      <c r="C1571" s="66">
        <v>17096.599999999999</v>
      </c>
      <c r="D1571" s="66">
        <v>17132.849999999999</v>
      </c>
      <c r="E1571" s="66">
        <v>16623.95</v>
      </c>
      <c r="F1571" s="67" t="s">
        <v>1158</v>
      </c>
      <c r="G1571" s="68">
        <v>-2.29E-2</v>
      </c>
      <c r="H1571" s="64"/>
    </row>
    <row r="1572" spans="1:8" x14ac:dyDescent="0.25">
      <c r="A1572" s="65">
        <v>44686</v>
      </c>
      <c r="B1572" s="66">
        <v>16682.650000000001</v>
      </c>
      <c r="C1572" s="66">
        <v>16854.75</v>
      </c>
      <c r="D1572" s="66">
        <v>16945.7</v>
      </c>
      <c r="E1572" s="66">
        <v>16651.849999999999</v>
      </c>
      <c r="F1572" s="67" t="s">
        <v>1157</v>
      </c>
      <c r="G1572" s="68">
        <v>2.9999999999999997E-4</v>
      </c>
      <c r="H1572" s="64"/>
    </row>
    <row r="1573" spans="1:8" x14ac:dyDescent="0.25">
      <c r="A1573" s="65">
        <v>44687</v>
      </c>
      <c r="B1573" s="66">
        <v>16411.25</v>
      </c>
      <c r="C1573" s="66">
        <v>16415.55</v>
      </c>
      <c r="D1573" s="66">
        <v>16484.2</v>
      </c>
      <c r="E1573" s="66">
        <v>16340.9</v>
      </c>
      <c r="F1573" s="67" t="s">
        <v>1156</v>
      </c>
      <c r="G1573" s="68">
        <v>-1.6299999999999999E-2</v>
      </c>
      <c r="H1573" s="64"/>
    </row>
    <row r="1574" spans="1:8" x14ac:dyDescent="0.25">
      <c r="A1574" s="65">
        <v>44690</v>
      </c>
      <c r="B1574" s="66">
        <v>16301.85</v>
      </c>
      <c r="C1574" s="66">
        <v>16227.7</v>
      </c>
      <c r="D1574" s="66">
        <v>16403.7</v>
      </c>
      <c r="E1574" s="66">
        <v>16142.1</v>
      </c>
      <c r="F1574" s="67" t="s">
        <v>1155</v>
      </c>
      <c r="G1574" s="68">
        <v>-6.7000000000000002E-3</v>
      </c>
      <c r="H1574" s="64"/>
    </row>
    <row r="1575" spans="1:8" x14ac:dyDescent="0.25">
      <c r="A1575" s="65">
        <v>44691</v>
      </c>
      <c r="B1575" s="66">
        <v>16240.05</v>
      </c>
      <c r="C1575" s="66">
        <v>16248.9</v>
      </c>
      <c r="D1575" s="66">
        <v>16404.55</v>
      </c>
      <c r="E1575" s="66">
        <v>16197.3</v>
      </c>
      <c r="F1575" s="67" t="s">
        <v>1154</v>
      </c>
      <c r="G1575" s="68">
        <v>-3.8E-3</v>
      </c>
      <c r="H1575" s="64"/>
    </row>
    <row r="1576" spans="1:8" x14ac:dyDescent="0.25">
      <c r="A1576" s="65">
        <v>44692</v>
      </c>
      <c r="B1576" s="66">
        <v>16167.1</v>
      </c>
      <c r="C1576" s="66">
        <v>16270.05</v>
      </c>
      <c r="D1576" s="66">
        <v>16318.75</v>
      </c>
      <c r="E1576" s="66">
        <v>15992.6</v>
      </c>
      <c r="F1576" s="67" t="s">
        <v>1153</v>
      </c>
      <c r="G1576" s="68">
        <v>-4.4999999999999997E-3</v>
      </c>
      <c r="H1576" s="64"/>
    </row>
    <row r="1577" spans="1:8" x14ac:dyDescent="0.25">
      <c r="A1577" s="65">
        <v>44693</v>
      </c>
      <c r="B1577" s="66">
        <v>15808</v>
      </c>
      <c r="C1577" s="66">
        <v>16021.1</v>
      </c>
      <c r="D1577" s="66">
        <v>16041.95</v>
      </c>
      <c r="E1577" s="66">
        <v>15735.75</v>
      </c>
      <c r="F1577" s="67" t="s">
        <v>1152</v>
      </c>
      <c r="G1577" s="68">
        <v>-2.2200000000000001E-2</v>
      </c>
      <c r="H1577" s="64"/>
    </row>
    <row r="1578" spans="1:8" x14ac:dyDescent="0.25">
      <c r="A1578" s="65">
        <v>44694</v>
      </c>
      <c r="B1578" s="66">
        <v>15782.15</v>
      </c>
      <c r="C1578" s="66">
        <v>15977</v>
      </c>
      <c r="D1578" s="66">
        <v>16083.6</v>
      </c>
      <c r="E1578" s="66">
        <v>15740.85</v>
      </c>
      <c r="F1578" s="67" t="s">
        <v>1151</v>
      </c>
      <c r="G1578" s="68">
        <v>-1.6000000000000001E-3</v>
      </c>
      <c r="H1578" s="64"/>
    </row>
    <row r="1579" spans="1:8" x14ac:dyDescent="0.25">
      <c r="A1579" s="65">
        <v>44697</v>
      </c>
      <c r="B1579" s="66">
        <v>15842.3</v>
      </c>
      <c r="C1579" s="66">
        <v>15845.1</v>
      </c>
      <c r="D1579" s="66">
        <v>15977.95</v>
      </c>
      <c r="E1579" s="66">
        <v>15739.65</v>
      </c>
      <c r="F1579" s="67" t="s">
        <v>1150</v>
      </c>
      <c r="G1579" s="68">
        <v>3.8E-3</v>
      </c>
      <c r="H1579" s="64"/>
    </row>
    <row r="1580" spans="1:8" x14ac:dyDescent="0.25">
      <c r="A1580" s="65">
        <v>44698</v>
      </c>
      <c r="B1580" s="66">
        <v>16259.3</v>
      </c>
      <c r="C1580" s="66">
        <v>15912.6</v>
      </c>
      <c r="D1580" s="66">
        <v>16284.25</v>
      </c>
      <c r="E1580" s="66">
        <v>15900.8</v>
      </c>
      <c r="F1580" s="67" t="s">
        <v>1149</v>
      </c>
      <c r="G1580" s="68">
        <v>2.63E-2</v>
      </c>
      <c r="H1580" s="64"/>
    </row>
    <row r="1581" spans="1:8" x14ac:dyDescent="0.25">
      <c r="A1581" s="65">
        <v>44699</v>
      </c>
      <c r="B1581" s="66">
        <v>16240.3</v>
      </c>
      <c r="C1581" s="66">
        <v>16318.15</v>
      </c>
      <c r="D1581" s="66">
        <v>16399.8</v>
      </c>
      <c r="E1581" s="66">
        <v>16211.2</v>
      </c>
      <c r="F1581" s="67" t="s">
        <v>1148</v>
      </c>
      <c r="G1581" s="68">
        <v>-1.1999999999999999E-3</v>
      </c>
      <c r="H1581" s="64"/>
    </row>
    <row r="1582" spans="1:8" x14ac:dyDescent="0.25">
      <c r="A1582" s="65">
        <v>44700</v>
      </c>
      <c r="B1582" s="66">
        <v>15809.4</v>
      </c>
      <c r="C1582" s="66">
        <v>15917.4</v>
      </c>
      <c r="D1582" s="66">
        <v>15984.75</v>
      </c>
      <c r="E1582" s="66">
        <v>15775.2</v>
      </c>
      <c r="F1582" s="67" t="s">
        <v>1147</v>
      </c>
      <c r="G1582" s="68">
        <v>-2.6499999999999999E-2</v>
      </c>
      <c r="H1582" s="64"/>
    </row>
    <row r="1583" spans="1:8" x14ac:dyDescent="0.25">
      <c r="A1583" s="65">
        <v>44701</v>
      </c>
      <c r="B1583" s="66">
        <v>16266.15</v>
      </c>
      <c r="C1583" s="66">
        <v>16043.8</v>
      </c>
      <c r="D1583" s="66">
        <v>16283.05</v>
      </c>
      <c r="E1583" s="66">
        <v>16003.85</v>
      </c>
      <c r="F1583" s="67" t="s">
        <v>1146</v>
      </c>
      <c r="G1583" s="68">
        <v>2.8899999999999999E-2</v>
      </c>
      <c r="H1583" s="64"/>
    </row>
    <row r="1584" spans="1:8" x14ac:dyDescent="0.25">
      <c r="A1584" s="65">
        <v>44704</v>
      </c>
      <c r="B1584" s="66">
        <v>16214.7</v>
      </c>
      <c r="C1584" s="66">
        <v>16290.95</v>
      </c>
      <c r="D1584" s="66">
        <v>16414.7</v>
      </c>
      <c r="E1584" s="66">
        <v>16185.75</v>
      </c>
      <c r="F1584" s="67" t="s">
        <v>1145</v>
      </c>
      <c r="G1584" s="68">
        <v>-3.2000000000000002E-3</v>
      </c>
      <c r="H1584" s="64"/>
    </row>
    <row r="1585" spans="1:8" x14ac:dyDescent="0.25">
      <c r="A1585" s="65">
        <v>44705</v>
      </c>
      <c r="B1585" s="66">
        <v>16125.15</v>
      </c>
      <c r="C1585" s="66">
        <v>16225.55</v>
      </c>
      <c r="D1585" s="66">
        <v>16262.8</v>
      </c>
      <c r="E1585" s="66">
        <v>16078.6</v>
      </c>
      <c r="F1585" s="67" t="s">
        <v>1144</v>
      </c>
      <c r="G1585" s="68">
        <v>-5.4999999999999997E-3</v>
      </c>
      <c r="H1585" s="64"/>
    </row>
    <row r="1586" spans="1:8" x14ac:dyDescent="0.25">
      <c r="A1586" s="65">
        <v>44706</v>
      </c>
      <c r="B1586" s="66">
        <v>16025.8</v>
      </c>
      <c r="C1586" s="66">
        <v>16196.35</v>
      </c>
      <c r="D1586" s="66">
        <v>16223.35</v>
      </c>
      <c r="E1586" s="66">
        <v>16006.95</v>
      </c>
      <c r="F1586" s="67" t="s">
        <v>1143</v>
      </c>
      <c r="G1586" s="68">
        <v>-6.1999999999999998E-3</v>
      </c>
      <c r="H1586" s="64"/>
    </row>
    <row r="1587" spans="1:8" x14ac:dyDescent="0.25">
      <c r="A1587" s="65">
        <v>44707</v>
      </c>
      <c r="B1587" s="66">
        <v>16170.15</v>
      </c>
      <c r="C1587" s="66">
        <v>16105</v>
      </c>
      <c r="D1587" s="66">
        <v>16204.45</v>
      </c>
      <c r="E1587" s="66">
        <v>15903.7</v>
      </c>
      <c r="F1587" s="67" t="s">
        <v>458</v>
      </c>
      <c r="G1587" s="68">
        <v>8.9999999999999993E-3</v>
      </c>
      <c r="H1587" s="64"/>
    </row>
    <row r="1588" spans="1:8" x14ac:dyDescent="0.25">
      <c r="A1588" s="65">
        <v>44708</v>
      </c>
      <c r="B1588" s="66">
        <v>16352.45</v>
      </c>
      <c r="C1588" s="66">
        <v>16296.6</v>
      </c>
      <c r="D1588" s="66">
        <v>16370.6</v>
      </c>
      <c r="E1588" s="66">
        <v>16221.95</v>
      </c>
      <c r="F1588" s="67" t="s">
        <v>1142</v>
      </c>
      <c r="G1588" s="68">
        <v>1.1299999999999999E-2</v>
      </c>
      <c r="H1588" s="64"/>
    </row>
    <row r="1589" spans="1:8" x14ac:dyDescent="0.25">
      <c r="A1589" s="65">
        <v>44711</v>
      </c>
      <c r="B1589" s="66">
        <v>16661.400000000001</v>
      </c>
      <c r="C1589" s="66">
        <v>16527.900000000001</v>
      </c>
      <c r="D1589" s="66">
        <v>16695.5</v>
      </c>
      <c r="E1589" s="66">
        <v>16506.150000000001</v>
      </c>
      <c r="F1589" s="67" t="s">
        <v>1141</v>
      </c>
      <c r="G1589" s="68">
        <v>1.89E-2</v>
      </c>
      <c r="H1589" s="64"/>
    </row>
    <row r="1590" spans="1:8" x14ac:dyDescent="0.25">
      <c r="A1590" s="65">
        <v>44712</v>
      </c>
      <c r="B1590" s="66">
        <v>16584.55</v>
      </c>
      <c r="C1590" s="66">
        <v>16578.45</v>
      </c>
      <c r="D1590" s="66">
        <v>16690.75</v>
      </c>
      <c r="E1590" s="66">
        <v>16521.900000000001</v>
      </c>
      <c r="F1590" s="67" t="s">
        <v>1140</v>
      </c>
      <c r="G1590" s="68">
        <v>-4.5999999999999999E-3</v>
      </c>
      <c r="H1590" s="64"/>
    </row>
    <row r="1591" spans="1:8" x14ac:dyDescent="0.25">
      <c r="A1591" s="65">
        <v>44713</v>
      </c>
      <c r="B1591" s="66">
        <v>16522.75</v>
      </c>
      <c r="C1591" s="66">
        <v>16594.400000000001</v>
      </c>
      <c r="D1591" s="66">
        <v>16649.2</v>
      </c>
      <c r="E1591" s="66">
        <v>16438.849999999999</v>
      </c>
      <c r="F1591" s="67" t="s">
        <v>1139</v>
      </c>
      <c r="G1591" s="68">
        <v>-3.7000000000000002E-3</v>
      </c>
      <c r="H1591" s="64"/>
    </row>
    <row r="1592" spans="1:8" x14ac:dyDescent="0.25">
      <c r="A1592" s="65">
        <v>44714</v>
      </c>
      <c r="B1592" s="66">
        <v>16628</v>
      </c>
      <c r="C1592" s="66">
        <v>16481.650000000001</v>
      </c>
      <c r="D1592" s="66">
        <v>16646.400000000001</v>
      </c>
      <c r="E1592" s="66">
        <v>16443.05</v>
      </c>
      <c r="F1592" s="67" t="s">
        <v>1138</v>
      </c>
      <c r="G1592" s="68">
        <v>6.4000000000000003E-3</v>
      </c>
      <c r="H1592" s="64"/>
    </row>
    <row r="1593" spans="1:8" x14ac:dyDescent="0.25">
      <c r="A1593" s="65">
        <v>44715</v>
      </c>
      <c r="B1593" s="66">
        <v>16584.3</v>
      </c>
      <c r="C1593" s="66">
        <v>16761.650000000001</v>
      </c>
      <c r="D1593" s="66">
        <v>16793.849999999999</v>
      </c>
      <c r="E1593" s="66">
        <v>16567.900000000001</v>
      </c>
      <c r="F1593" s="67" t="s">
        <v>1137</v>
      </c>
      <c r="G1593" s="68">
        <v>-2.5999999999999999E-3</v>
      </c>
      <c r="H1593" s="64"/>
    </row>
    <row r="1594" spans="1:8" x14ac:dyDescent="0.25">
      <c r="A1594" s="65">
        <v>44718</v>
      </c>
      <c r="B1594" s="66">
        <v>16569.55</v>
      </c>
      <c r="C1594" s="66">
        <v>16530.7</v>
      </c>
      <c r="D1594" s="66">
        <v>16610.95</v>
      </c>
      <c r="E1594" s="66">
        <v>16444.55</v>
      </c>
      <c r="F1594" s="67" t="s">
        <v>1136</v>
      </c>
      <c r="G1594" s="68">
        <v>-8.9999999999999998E-4</v>
      </c>
      <c r="H1594" s="64"/>
    </row>
    <row r="1595" spans="1:8" x14ac:dyDescent="0.25">
      <c r="A1595" s="65">
        <v>44719</v>
      </c>
      <c r="B1595" s="66">
        <v>16416.349999999999</v>
      </c>
      <c r="C1595" s="66">
        <v>16469.599999999999</v>
      </c>
      <c r="D1595" s="66">
        <v>16487.25</v>
      </c>
      <c r="E1595" s="66">
        <v>16347.1</v>
      </c>
      <c r="F1595" s="67" t="s">
        <v>1135</v>
      </c>
      <c r="G1595" s="68">
        <v>-9.1999999999999998E-3</v>
      </c>
      <c r="H1595" s="64"/>
    </row>
    <row r="1596" spans="1:8" x14ac:dyDescent="0.25">
      <c r="A1596" s="65">
        <v>44720</v>
      </c>
      <c r="B1596" s="66">
        <v>16356.25</v>
      </c>
      <c r="C1596" s="66">
        <v>16474.95</v>
      </c>
      <c r="D1596" s="66">
        <v>16514.3</v>
      </c>
      <c r="E1596" s="66">
        <v>16293.35</v>
      </c>
      <c r="F1596" s="67" t="s">
        <v>1134</v>
      </c>
      <c r="G1596" s="68">
        <v>-3.7000000000000002E-3</v>
      </c>
      <c r="H1596" s="64"/>
    </row>
    <row r="1597" spans="1:8" x14ac:dyDescent="0.25">
      <c r="A1597" s="65">
        <v>44721</v>
      </c>
      <c r="B1597" s="66">
        <v>16478.099999999999</v>
      </c>
      <c r="C1597" s="66">
        <v>16263.85</v>
      </c>
      <c r="D1597" s="66">
        <v>16492.8</v>
      </c>
      <c r="E1597" s="66">
        <v>16243.85</v>
      </c>
      <c r="F1597" s="67" t="s">
        <v>1133</v>
      </c>
      <c r="G1597" s="68">
        <v>7.4000000000000003E-3</v>
      </c>
      <c r="H1597" s="64"/>
    </row>
    <row r="1598" spans="1:8" x14ac:dyDescent="0.25">
      <c r="A1598" s="65">
        <v>44722</v>
      </c>
      <c r="B1598" s="66">
        <v>16201.8</v>
      </c>
      <c r="C1598" s="66">
        <v>16283.95</v>
      </c>
      <c r="D1598" s="66">
        <v>16324.7</v>
      </c>
      <c r="E1598" s="66">
        <v>16172.6</v>
      </c>
      <c r="F1598" s="67" t="s">
        <v>1132</v>
      </c>
      <c r="G1598" s="68">
        <v>-1.6799999999999999E-2</v>
      </c>
      <c r="H1598" s="64"/>
    </row>
    <row r="1599" spans="1:8" x14ac:dyDescent="0.25">
      <c r="A1599" s="65">
        <v>44725</v>
      </c>
      <c r="B1599" s="66">
        <v>15774.4</v>
      </c>
      <c r="C1599" s="66">
        <v>15877.55</v>
      </c>
      <c r="D1599" s="66">
        <v>15886.15</v>
      </c>
      <c r="E1599" s="66">
        <v>15684</v>
      </c>
      <c r="F1599" s="67" t="s">
        <v>1131</v>
      </c>
      <c r="G1599" s="68">
        <v>-2.64E-2</v>
      </c>
      <c r="H1599" s="64"/>
    </row>
    <row r="1600" spans="1:8" x14ac:dyDescent="0.25">
      <c r="A1600" s="65">
        <v>44726</v>
      </c>
      <c r="B1600" s="66">
        <v>15732.1</v>
      </c>
      <c r="C1600" s="66">
        <v>15674.25</v>
      </c>
      <c r="D1600" s="66">
        <v>15858</v>
      </c>
      <c r="E1600" s="66">
        <v>15659.45</v>
      </c>
      <c r="F1600" s="67" t="s">
        <v>118</v>
      </c>
      <c r="G1600" s="68">
        <v>-2.7000000000000001E-3</v>
      </c>
      <c r="H1600" s="64"/>
    </row>
    <row r="1601" spans="1:8" x14ac:dyDescent="0.25">
      <c r="A1601" s="65">
        <v>44727</v>
      </c>
      <c r="B1601" s="66">
        <v>15692.15</v>
      </c>
      <c r="C1601" s="66">
        <v>15729.25</v>
      </c>
      <c r="D1601" s="66">
        <v>15783.65</v>
      </c>
      <c r="E1601" s="66">
        <v>15678.9</v>
      </c>
      <c r="F1601" s="67" t="s">
        <v>1130</v>
      </c>
      <c r="G1601" s="68">
        <v>-2.5000000000000001E-3</v>
      </c>
      <c r="H1601" s="64"/>
    </row>
    <row r="1602" spans="1:8" x14ac:dyDescent="0.25">
      <c r="A1602" s="65">
        <v>44728</v>
      </c>
      <c r="B1602" s="66">
        <v>15360.6</v>
      </c>
      <c r="C1602" s="66">
        <v>15832.25</v>
      </c>
      <c r="D1602" s="66">
        <v>15863.15</v>
      </c>
      <c r="E1602" s="66">
        <v>15335.1</v>
      </c>
      <c r="F1602" s="67" t="s">
        <v>1129</v>
      </c>
      <c r="G1602" s="68">
        <v>-2.1100000000000001E-2</v>
      </c>
      <c r="H1602" s="64"/>
    </row>
    <row r="1603" spans="1:8" x14ac:dyDescent="0.25">
      <c r="A1603" s="65">
        <v>44729</v>
      </c>
      <c r="B1603" s="66">
        <v>15293.5</v>
      </c>
      <c r="C1603" s="66">
        <v>15272.65</v>
      </c>
      <c r="D1603" s="66">
        <v>15400.4</v>
      </c>
      <c r="E1603" s="66">
        <v>15183.4</v>
      </c>
      <c r="F1603" s="67" t="s">
        <v>1128</v>
      </c>
      <c r="G1603" s="68">
        <v>-4.4000000000000003E-3</v>
      </c>
      <c r="H1603" s="64"/>
    </row>
    <row r="1604" spans="1:8" x14ac:dyDescent="0.25">
      <c r="A1604" s="65">
        <v>44732</v>
      </c>
      <c r="B1604" s="66">
        <v>15350.15</v>
      </c>
      <c r="C1604" s="66">
        <v>15334.5</v>
      </c>
      <c r="D1604" s="66">
        <v>15382.5</v>
      </c>
      <c r="E1604" s="66">
        <v>15191.1</v>
      </c>
      <c r="F1604" s="67" t="s">
        <v>1127</v>
      </c>
      <c r="G1604" s="68">
        <v>3.7000000000000002E-3</v>
      </c>
      <c r="H1604" s="64"/>
    </row>
    <row r="1605" spans="1:8" x14ac:dyDescent="0.25">
      <c r="A1605" s="65">
        <v>44733</v>
      </c>
      <c r="B1605" s="66">
        <v>15638.8</v>
      </c>
      <c r="C1605" s="66">
        <v>15455.95</v>
      </c>
      <c r="D1605" s="66">
        <v>15707.25</v>
      </c>
      <c r="E1605" s="66">
        <v>15419.85</v>
      </c>
      <c r="F1605" s="67" t="s">
        <v>1126</v>
      </c>
      <c r="G1605" s="68">
        <v>1.8800000000000001E-2</v>
      </c>
      <c r="H1605" s="64"/>
    </row>
    <row r="1606" spans="1:8" x14ac:dyDescent="0.25">
      <c r="A1606" s="65">
        <v>44734</v>
      </c>
      <c r="B1606" s="66">
        <v>15413.3</v>
      </c>
      <c r="C1606" s="66">
        <v>15545.65</v>
      </c>
      <c r="D1606" s="66">
        <v>15565.4</v>
      </c>
      <c r="E1606" s="66">
        <v>15385.95</v>
      </c>
      <c r="F1606" s="67" t="s">
        <v>1125</v>
      </c>
      <c r="G1606" s="68">
        <v>-1.44E-2</v>
      </c>
      <c r="H1606" s="64"/>
    </row>
    <row r="1607" spans="1:8" x14ac:dyDescent="0.25">
      <c r="A1607" s="65">
        <v>44735</v>
      </c>
      <c r="B1607" s="66">
        <v>15556.65</v>
      </c>
      <c r="C1607" s="66">
        <v>15451.55</v>
      </c>
      <c r="D1607" s="66">
        <v>15628.45</v>
      </c>
      <c r="E1607" s="66">
        <v>15367.5</v>
      </c>
      <c r="F1607" s="67" t="s">
        <v>1124</v>
      </c>
      <c r="G1607" s="68">
        <v>9.2999999999999992E-3</v>
      </c>
      <c r="H1607" s="64"/>
    </row>
    <row r="1608" spans="1:8" x14ac:dyDescent="0.25">
      <c r="A1608" s="65">
        <v>44736</v>
      </c>
      <c r="B1608" s="66">
        <v>15699.25</v>
      </c>
      <c r="C1608" s="66">
        <v>15657.4</v>
      </c>
      <c r="D1608" s="66">
        <v>15749.25</v>
      </c>
      <c r="E1608" s="66">
        <v>15619.45</v>
      </c>
      <c r="F1608" s="67" t="s">
        <v>1123</v>
      </c>
      <c r="G1608" s="68">
        <v>9.1999999999999998E-3</v>
      </c>
      <c r="H1608" s="64"/>
    </row>
    <row r="1609" spans="1:8" x14ac:dyDescent="0.25">
      <c r="A1609" s="65">
        <v>44739</v>
      </c>
      <c r="B1609" s="66">
        <v>15832.05</v>
      </c>
      <c r="C1609" s="66">
        <v>15926.2</v>
      </c>
      <c r="D1609" s="66">
        <v>15927.45</v>
      </c>
      <c r="E1609" s="66">
        <v>15815.5</v>
      </c>
      <c r="F1609" s="67" t="s">
        <v>1122</v>
      </c>
      <c r="G1609" s="68">
        <v>8.5000000000000006E-3</v>
      </c>
      <c r="H1609" s="64"/>
    </row>
    <row r="1610" spans="1:8" x14ac:dyDescent="0.25">
      <c r="A1610" s="65">
        <v>44740</v>
      </c>
      <c r="B1610" s="66">
        <v>15850.2</v>
      </c>
      <c r="C1610" s="66">
        <v>15757.45</v>
      </c>
      <c r="D1610" s="66">
        <v>15892.1</v>
      </c>
      <c r="E1610" s="66">
        <v>15710.15</v>
      </c>
      <c r="F1610" s="67" t="s">
        <v>1121</v>
      </c>
      <c r="G1610" s="68">
        <v>1.1000000000000001E-3</v>
      </c>
      <c r="H1610" s="64"/>
    </row>
    <row r="1611" spans="1:8" x14ac:dyDescent="0.25">
      <c r="A1611" s="65">
        <v>44741</v>
      </c>
      <c r="B1611" s="66">
        <v>15799.1</v>
      </c>
      <c r="C1611" s="66">
        <v>15701.7</v>
      </c>
      <c r="D1611" s="66">
        <v>15861.6</v>
      </c>
      <c r="E1611" s="66">
        <v>15687.8</v>
      </c>
      <c r="F1611" s="67" t="s">
        <v>1120</v>
      </c>
      <c r="G1611" s="68">
        <v>-3.2000000000000002E-3</v>
      </c>
      <c r="H1611" s="64"/>
    </row>
    <row r="1612" spans="1:8" x14ac:dyDescent="0.25">
      <c r="A1612" s="65">
        <v>44742</v>
      </c>
      <c r="B1612" s="66">
        <v>15780.25</v>
      </c>
      <c r="C1612" s="66">
        <v>15774.5</v>
      </c>
      <c r="D1612" s="66">
        <v>15890</v>
      </c>
      <c r="E1612" s="66">
        <v>15728.85</v>
      </c>
      <c r="F1612" s="67" t="s">
        <v>1119</v>
      </c>
      <c r="G1612" s="68">
        <v>-1.1999999999999999E-3</v>
      </c>
      <c r="H1612" s="64"/>
    </row>
    <row r="1613" spans="1:8" x14ac:dyDescent="0.25">
      <c r="A1613" s="65">
        <v>44743</v>
      </c>
      <c r="B1613" s="66">
        <v>15752.05</v>
      </c>
      <c r="C1613" s="66">
        <v>15703.7</v>
      </c>
      <c r="D1613" s="66">
        <v>15793.95</v>
      </c>
      <c r="E1613" s="66">
        <v>15511.05</v>
      </c>
      <c r="F1613" s="67" t="s">
        <v>1118</v>
      </c>
      <c r="G1613" s="68">
        <v>-1.8E-3</v>
      </c>
      <c r="H1613" s="64"/>
    </row>
    <row r="1614" spans="1:8" x14ac:dyDescent="0.25">
      <c r="A1614" s="65">
        <v>44746</v>
      </c>
      <c r="B1614" s="66">
        <v>15835.35</v>
      </c>
      <c r="C1614" s="66">
        <v>15710.5</v>
      </c>
      <c r="D1614" s="66">
        <v>15852.35</v>
      </c>
      <c r="E1614" s="66">
        <v>15661.8</v>
      </c>
      <c r="F1614" s="67" t="s">
        <v>1117</v>
      </c>
      <c r="G1614" s="68">
        <v>5.3E-3</v>
      </c>
      <c r="H1614" s="64"/>
    </row>
    <row r="1615" spans="1:8" x14ac:dyDescent="0.25">
      <c r="A1615" s="65">
        <v>44747</v>
      </c>
      <c r="B1615" s="66">
        <v>15810.85</v>
      </c>
      <c r="C1615" s="66">
        <v>15909.15</v>
      </c>
      <c r="D1615" s="66">
        <v>16025.75</v>
      </c>
      <c r="E1615" s="66">
        <v>15785.45</v>
      </c>
      <c r="F1615" s="67" t="s">
        <v>1116</v>
      </c>
      <c r="G1615" s="68">
        <v>-1.5E-3</v>
      </c>
      <c r="H1615" s="64"/>
    </row>
    <row r="1616" spans="1:8" x14ac:dyDescent="0.25">
      <c r="A1616" s="65">
        <v>44748</v>
      </c>
      <c r="B1616" s="66">
        <v>15989.8</v>
      </c>
      <c r="C1616" s="66">
        <v>15818.2</v>
      </c>
      <c r="D1616" s="66">
        <v>16011.35</v>
      </c>
      <c r="E1616" s="66">
        <v>15800.9</v>
      </c>
      <c r="F1616" s="67" t="s">
        <v>1115</v>
      </c>
      <c r="G1616" s="68">
        <v>1.1299999999999999E-2</v>
      </c>
      <c r="H1616" s="64"/>
    </row>
    <row r="1617" spans="1:8" x14ac:dyDescent="0.25">
      <c r="A1617" s="65">
        <v>44749</v>
      </c>
      <c r="B1617" s="66">
        <v>16132.9</v>
      </c>
      <c r="C1617" s="66">
        <v>16113.75</v>
      </c>
      <c r="D1617" s="66">
        <v>16150.5</v>
      </c>
      <c r="E1617" s="66">
        <v>16045.95</v>
      </c>
      <c r="F1617" s="67" t="s">
        <v>1114</v>
      </c>
      <c r="G1617" s="68">
        <v>8.8999999999999999E-3</v>
      </c>
      <c r="H1617" s="64"/>
    </row>
    <row r="1618" spans="1:8" x14ac:dyDescent="0.25">
      <c r="A1618" s="65">
        <v>44750</v>
      </c>
      <c r="B1618" s="66">
        <v>16220.6</v>
      </c>
      <c r="C1618" s="66">
        <v>16273.65</v>
      </c>
      <c r="D1618" s="66">
        <v>16275.5</v>
      </c>
      <c r="E1618" s="66">
        <v>16157.9</v>
      </c>
      <c r="F1618" s="67" t="s">
        <v>1113</v>
      </c>
      <c r="G1618" s="68">
        <v>5.4000000000000003E-3</v>
      </c>
      <c r="H1618" s="64"/>
    </row>
    <row r="1619" spans="1:8" x14ac:dyDescent="0.25">
      <c r="A1619" s="65">
        <v>44753</v>
      </c>
      <c r="B1619" s="66">
        <v>16216</v>
      </c>
      <c r="C1619" s="66">
        <v>16136.15</v>
      </c>
      <c r="D1619" s="66">
        <v>16248.55</v>
      </c>
      <c r="E1619" s="66">
        <v>16115.5</v>
      </c>
      <c r="F1619" s="67" t="s">
        <v>1112</v>
      </c>
      <c r="G1619" s="68">
        <v>-2.9999999999999997E-4</v>
      </c>
      <c r="H1619" s="64"/>
    </row>
    <row r="1620" spans="1:8" x14ac:dyDescent="0.25">
      <c r="A1620" s="65">
        <v>44754</v>
      </c>
      <c r="B1620" s="66">
        <v>16058.3</v>
      </c>
      <c r="C1620" s="66">
        <v>16126.2</v>
      </c>
      <c r="D1620" s="66">
        <v>16158.75</v>
      </c>
      <c r="E1620" s="66">
        <v>16031.15</v>
      </c>
      <c r="F1620" s="67" t="s">
        <v>1111</v>
      </c>
      <c r="G1620" s="68">
        <v>-9.7000000000000003E-3</v>
      </c>
      <c r="H1620" s="64"/>
    </row>
    <row r="1621" spans="1:8" x14ac:dyDescent="0.25">
      <c r="A1621" s="65">
        <v>44755</v>
      </c>
      <c r="B1621" s="66">
        <v>15966.65</v>
      </c>
      <c r="C1621" s="66">
        <v>16128.2</v>
      </c>
      <c r="D1621" s="66">
        <v>16140</v>
      </c>
      <c r="E1621" s="66">
        <v>15950.15</v>
      </c>
      <c r="F1621" s="67" t="s">
        <v>1110</v>
      </c>
      <c r="G1621" s="68">
        <v>-5.7000000000000002E-3</v>
      </c>
      <c r="H1621" s="64"/>
    </row>
    <row r="1622" spans="1:8" x14ac:dyDescent="0.25">
      <c r="A1622" s="65">
        <v>44756</v>
      </c>
      <c r="B1622" s="66">
        <v>15938.65</v>
      </c>
      <c r="C1622" s="66">
        <v>16018.85</v>
      </c>
      <c r="D1622" s="66">
        <v>16070.85</v>
      </c>
      <c r="E1622" s="66">
        <v>15858.2</v>
      </c>
      <c r="F1622" s="67" t="s">
        <v>1109</v>
      </c>
      <c r="G1622" s="68">
        <v>-1.8E-3</v>
      </c>
      <c r="H1622" s="64"/>
    </row>
    <row r="1623" spans="1:8" x14ac:dyDescent="0.25">
      <c r="A1623" s="65">
        <v>44757</v>
      </c>
      <c r="B1623" s="66">
        <v>16049.2</v>
      </c>
      <c r="C1623" s="66">
        <v>16010.8</v>
      </c>
      <c r="D1623" s="66">
        <v>16066.95</v>
      </c>
      <c r="E1623" s="66">
        <v>15927.3</v>
      </c>
      <c r="F1623" s="67" t="s">
        <v>1108</v>
      </c>
      <c r="G1623" s="68">
        <v>6.8999999999999999E-3</v>
      </c>
      <c r="H1623" s="64"/>
    </row>
    <row r="1624" spans="1:8" x14ac:dyDescent="0.25">
      <c r="A1624" s="65">
        <v>44760</v>
      </c>
      <c r="B1624" s="66">
        <v>16278.5</v>
      </c>
      <c r="C1624" s="66">
        <v>16151.4</v>
      </c>
      <c r="D1624" s="66">
        <v>16287.95</v>
      </c>
      <c r="E1624" s="66">
        <v>16142.2</v>
      </c>
      <c r="F1624" s="67" t="s">
        <v>1107</v>
      </c>
      <c r="G1624" s="68">
        <v>1.43E-2</v>
      </c>
      <c r="H1624" s="64"/>
    </row>
    <row r="1625" spans="1:8" x14ac:dyDescent="0.25">
      <c r="A1625" s="65">
        <v>44761</v>
      </c>
      <c r="B1625" s="66">
        <v>16340.55</v>
      </c>
      <c r="C1625" s="66">
        <v>16187.05</v>
      </c>
      <c r="D1625" s="66">
        <v>16359.5</v>
      </c>
      <c r="E1625" s="66">
        <v>16187.05</v>
      </c>
      <c r="F1625" s="67" t="s">
        <v>1106</v>
      </c>
      <c r="G1625" s="68">
        <v>3.8E-3</v>
      </c>
      <c r="H1625" s="64"/>
    </row>
    <row r="1626" spans="1:8" x14ac:dyDescent="0.25">
      <c r="A1626" s="65">
        <v>44762</v>
      </c>
      <c r="B1626" s="66">
        <v>16520.849999999999</v>
      </c>
      <c r="C1626" s="66">
        <v>16562.8</v>
      </c>
      <c r="D1626" s="66">
        <v>16588</v>
      </c>
      <c r="E1626" s="66">
        <v>16490.95</v>
      </c>
      <c r="F1626" s="67" t="s">
        <v>1105</v>
      </c>
      <c r="G1626" s="68">
        <v>1.0999999999999999E-2</v>
      </c>
      <c r="H1626" s="64"/>
    </row>
    <row r="1627" spans="1:8" x14ac:dyDescent="0.25">
      <c r="A1627" s="65">
        <v>44763</v>
      </c>
      <c r="B1627" s="66">
        <v>16605.25</v>
      </c>
      <c r="C1627" s="66">
        <v>16523.55</v>
      </c>
      <c r="D1627" s="66">
        <v>16626.95</v>
      </c>
      <c r="E1627" s="66">
        <v>16483.900000000001</v>
      </c>
      <c r="F1627" s="67" t="s">
        <v>1104</v>
      </c>
      <c r="G1627" s="68">
        <v>5.1000000000000004E-3</v>
      </c>
      <c r="H1627" s="64"/>
    </row>
    <row r="1628" spans="1:8" x14ac:dyDescent="0.25">
      <c r="A1628" s="65">
        <v>44764</v>
      </c>
      <c r="B1628" s="66">
        <v>16719.45</v>
      </c>
      <c r="C1628" s="66">
        <v>16661.25</v>
      </c>
      <c r="D1628" s="66">
        <v>16752.25</v>
      </c>
      <c r="E1628" s="66">
        <v>16610.900000000001</v>
      </c>
      <c r="F1628" s="67" t="s">
        <v>1103</v>
      </c>
      <c r="G1628" s="68">
        <v>6.8999999999999999E-3</v>
      </c>
      <c r="H1628" s="64"/>
    </row>
    <row r="1629" spans="1:8" x14ac:dyDescent="0.25">
      <c r="A1629" s="65">
        <v>44767</v>
      </c>
      <c r="B1629" s="66">
        <v>16631</v>
      </c>
      <c r="C1629" s="66">
        <v>16662.55</v>
      </c>
      <c r="D1629" s="66">
        <v>16706.05</v>
      </c>
      <c r="E1629" s="66">
        <v>16564.25</v>
      </c>
      <c r="F1629" s="67" t="s">
        <v>1102</v>
      </c>
      <c r="G1629" s="68">
        <v>-5.3E-3</v>
      </c>
      <c r="H1629" s="64"/>
    </row>
    <row r="1630" spans="1:8" x14ac:dyDescent="0.25">
      <c r="A1630" s="65">
        <v>44768</v>
      </c>
      <c r="B1630" s="66">
        <v>16483.849999999999</v>
      </c>
      <c r="C1630" s="66">
        <v>16632.900000000001</v>
      </c>
      <c r="D1630" s="66">
        <v>16636.099999999999</v>
      </c>
      <c r="E1630" s="66">
        <v>16463.3</v>
      </c>
      <c r="F1630" s="67" t="s">
        <v>1101</v>
      </c>
      <c r="G1630" s="68">
        <v>-8.8000000000000005E-3</v>
      </c>
      <c r="H1630" s="64"/>
    </row>
    <row r="1631" spans="1:8" x14ac:dyDescent="0.25">
      <c r="A1631" s="65">
        <v>44769</v>
      </c>
      <c r="B1631" s="66">
        <v>16641.8</v>
      </c>
      <c r="C1631" s="66">
        <v>16475.349999999999</v>
      </c>
      <c r="D1631" s="66">
        <v>16653.45</v>
      </c>
      <c r="E1631" s="66">
        <v>16438.75</v>
      </c>
      <c r="F1631" s="67" t="s">
        <v>1100</v>
      </c>
      <c r="G1631" s="68">
        <v>9.5999999999999992E-3</v>
      </c>
      <c r="H1631" s="64"/>
    </row>
    <row r="1632" spans="1:8" x14ac:dyDescent="0.25">
      <c r="A1632" s="65">
        <v>44770</v>
      </c>
      <c r="B1632" s="66">
        <v>16929.599999999999</v>
      </c>
      <c r="C1632" s="66">
        <v>16774.849999999999</v>
      </c>
      <c r="D1632" s="66">
        <v>16947.650000000001</v>
      </c>
      <c r="E1632" s="66">
        <v>16746.25</v>
      </c>
      <c r="F1632" s="67" t="s">
        <v>1099</v>
      </c>
      <c r="G1632" s="68">
        <v>1.7299999999999999E-2</v>
      </c>
      <c r="H1632" s="64"/>
    </row>
    <row r="1633" spans="1:8" x14ac:dyDescent="0.25">
      <c r="A1633" s="65">
        <v>44771</v>
      </c>
      <c r="B1633" s="66">
        <v>17158.25</v>
      </c>
      <c r="C1633" s="66">
        <v>17079.5</v>
      </c>
      <c r="D1633" s="66">
        <v>17172.8</v>
      </c>
      <c r="E1633" s="66">
        <v>17018.150000000001</v>
      </c>
      <c r="F1633" s="67" t="s">
        <v>1098</v>
      </c>
      <c r="G1633" s="68">
        <v>1.35E-2</v>
      </c>
      <c r="H1633" s="64"/>
    </row>
    <row r="1634" spans="1:8" x14ac:dyDescent="0.25">
      <c r="A1634" s="65">
        <v>44774</v>
      </c>
      <c r="B1634" s="66">
        <v>17340.05</v>
      </c>
      <c r="C1634" s="66">
        <v>17243.2</v>
      </c>
      <c r="D1634" s="66">
        <v>17356.25</v>
      </c>
      <c r="E1634" s="66">
        <v>17154.8</v>
      </c>
      <c r="F1634" s="67" t="s">
        <v>1097</v>
      </c>
      <c r="G1634" s="68">
        <v>1.06E-2</v>
      </c>
      <c r="H1634" s="64"/>
    </row>
    <row r="1635" spans="1:8" x14ac:dyDescent="0.25">
      <c r="A1635" s="65">
        <v>44775</v>
      </c>
      <c r="B1635" s="66">
        <v>17345.45</v>
      </c>
      <c r="C1635" s="66">
        <v>17310.150000000001</v>
      </c>
      <c r="D1635" s="66">
        <v>17390.150000000001</v>
      </c>
      <c r="E1635" s="66">
        <v>17215.849999999999</v>
      </c>
      <c r="F1635" s="67" t="s">
        <v>1096</v>
      </c>
      <c r="G1635" s="68">
        <v>2.9999999999999997E-4</v>
      </c>
      <c r="H1635" s="64"/>
    </row>
    <row r="1636" spans="1:8" x14ac:dyDescent="0.25">
      <c r="A1636" s="65">
        <v>44776</v>
      </c>
      <c r="B1636" s="66">
        <v>17388.150000000001</v>
      </c>
      <c r="C1636" s="66">
        <v>17349.25</v>
      </c>
      <c r="D1636" s="66">
        <v>17407.5</v>
      </c>
      <c r="E1636" s="66">
        <v>17225.849999999999</v>
      </c>
      <c r="F1636" s="67" t="s">
        <v>1095</v>
      </c>
      <c r="G1636" s="68">
        <v>2.5000000000000001E-3</v>
      </c>
      <c r="H1636" s="64"/>
    </row>
    <row r="1637" spans="1:8" x14ac:dyDescent="0.25">
      <c r="A1637" s="65">
        <v>44777</v>
      </c>
      <c r="B1637" s="66">
        <v>17382</v>
      </c>
      <c r="C1637" s="66">
        <v>17463.099999999999</v>
      </c>
      <c r="D1637" s="66">
        <v>17490.7</v>
      </c>
      <c r="E1637" s="66">
        <v>17161.25</v>
      </c>
      <c r="F1637" s="67" t="s">
        <v>1094</v>
      </c>
      <c r="G1637" s="68">
        <v>-4.0000000000000002E-4</v>
      </c>
      <c r="H1637" s="64"/>
    </row>
    <row r="1638" spans="1:8" x14ac:dyDescent="0.25">
      <c r="A1638" s="65">
        <v>44778</v>
      </c>
      <c r="B1638" s="66">
        <v>17397.5</v>
      </c>
      <c r="C1638" s="66">
        <v>17423.650000000001</v>
      </c>
      <c r="D1638" s="66">
        <v>17474.400000000001</v>
      </c>
      <c r="E1638" s="66">
        <v>17348.75</v>
      </c>
      <c r="F1638" s="67" t="s">
        <v>1093</v>
      </c>
      <c r="G1638" s="68">
        <v>8.9999999999999998E-4</v>
      </c>
      <c r="H1638" s="64"/>
    </row>
    <row r="1639" spans="1:8" x14ac:dyDescent="0.25">
      <c r="A1639" s="65">
        <v>44781</v>
      </c>
      <c r="B1639" s="66">
        <v>17525.099999999999</v>
      </c>
      <c r="C1639" s="66">
        <v>17401.5</v>
      </c>
      <c r="D1639" s="66">
        <v>17548.8</v>
      </c>
      <c r="E1639" s="66">
        <v>17359.75</v>
      </c>
      <c r="F1639" s="67" t="s">
        <v>1092</v>
      </c>
      <c r="G1639" s="68">
        <v>7.3000000000000001E-3</v>
      </c>
      <c r="H1639" s="64"/>
    </row>
    <row r="1640" spans="1:8" x14ac:dyDescent="0.25">
      <c r="A1640" s="65">
        <v>44783</v>
      </c>
      <c r="B1640" s="66">
        <v>17534.75</v>
      </c>
      <c r="C1640" s="66">
        <v>17566.099999999999</v>
      </c>
      <c r="D1640" s="66">
        <v>17566.099999999999</v>
      </c>
      <c r="E1640" s="66">
        <v>17442.8</v>
      </c>
      <c r="F1640" s="67" t="s">
        <v>1091</v>
      </c>
      <c r="G1640" s="68">
        <v>5.9999999999999995E-4</v>
      </c>
      <c r="H1640" s="64"/>
    </row>
    <row r="1641" spans="1:8" x14ac:dyDescent="0.25">
      <c r="A1641" s="65">
        <v>44784</v>
      </c>
      <c r="B1641" s="66">
        <v>17659</v>
      </c>
      <c r="C1641" s="66">
        <v>17711.650000000001</v>
      </c>
      <c r="D1641" s="66">
        <v>17719.3</v>
      </c>
      <c r="E1641" s="66">
        <v>17631.95</v>
      </c>
      <c r="F1641" s="67" t="s">
        <v>1090</v>
      </c>
      <c r="G1641" s="68">
        <v>7.1000000000000004E-3</v>
      </c>
      <c r="H1641" s="64"/>
    </row>
    <row r="1642" spans="1:8" x14ac:dyDescent="0.25">
      <c r="A1642" s="65">
        <v>44785</v>
      </c>
      <c r="B1642" s="66">
        <v>17698.150000000001</v>
      </c>
      <c r="C1642" s="66">
        <v>17659.650000000001</v>
      </c>
      <c r="D1642" s="66">
        <v>17724.650000000001</v>
      </c>
      <c r="E1642" s="66">
        <v>17597.849999999999</v>
      </c>
      <c r="F1642" s="67" t="s">
        <v>1089</v>
      </c>
      <c r="G1642" s="68">
        <v>2.2000000000000001E-3</v>
      </c>
      <c r="H1642" s="64"/>
    </row>
    <row r="1643" spans="1:8" x14ac:dyDescent="0.25">
      <c r="A1643" s="65">
        <v>44789</v>
      </c>
      <c r="B1643" s="66">
        <v>17825.25</v>
      </c>
      <c r="C1643" s="66">
        <v>17797.2</v>
      </c>
      <c r="D1643" s="66">
        <v>17839.099999999999</v>
      </c>
      <c r="E1643" s="66">
        <v>17764.05</v>
      </c>
      <c r="F1643" s="67"/>
      <c r="G1643" s="68">
        <v>7.1999999999999998E-3</v>
      </c>
      <c r="H1643" s="64"/>
    </row>
    <row r="1644" spans="1:8" x14ac:dyDescent="0.25">
      <c r="A1644" s="65">
        <v>44790</v>
      </c>
      <c r="B1644" s="66">
        <v>17944.25</v>
      </c>
      <c r="C1644" s="66">
        <v>17868.150000000001</v>
      </c>
      <c r="D1644" s="66">
        <v>17965.95</v>
      </c>
      <c r="E1644" s="66">
        <v>17833.349999999999</v>
      </c>
      <c r="F1644" s="67" t="s">
        <v>1088</v>
      </c>
      <c r="G1644" s="68">
        <v>6.7000000000000002E-3</v>
      </c>
      <c r="H1644" s="64"/>
    </row>
    <row r="1645" spans="1:8" x14ac:dyDescent="0.25">
      <c r="A1645" s="65">
        <v>44791</v>
      </c>
      <c r="B1645" s="66">
        <v>17956.5</v>
      </c>
      <c r="C1645" s="66">
        <v>17898.650000000001</v>
      </c>
      <c r="D1645" s="66">
        <v>17968.45</v>
      </c>
      <c r="E1645" s="66">
        <v>17852.05</v>
      </c>
      <c r="F1645" s="67" t="s">
        <v>1087</v>
      </c>
      <c r="G1645" s="68">
        <v>6.9999999999999999E-4</v>
      </c>
      <c r="H1645" s="64"/>
    </row>
    <row r="1646" spans="1:8" x14ac:dyDescent="0.25">
      <c r="A1646" s="65">
        <v>44792</v>
      </c>
      <c r="B1646" s="66">
        <v>17758.45</v>
      </c>
      <c r="C1646" s="66">
        <v>17966.55</v>
      </c>
      <c r="D1646" s="66">
        <v>17992.2</v>
      </c>
      <c r="E1646" s="66">
        <v>17710.75</v>
      </c>
      <c r="F1646" s="67" t="s">
        <v>655</v>
      </c>
      <c r="G1646" s="68">
        <v>-1.0999999999999999E-2</v>
      </c>
      <c r="H1646" s="64"/>
    </row>
    <row r="1647" spans="1:8" x14ac:dyDescent="0.25">
      <c r="A1647" s="65">
        <v>44795</v>
      </c>
      <c r="B1647" s="66">
        <v>17490.7</v>
      </c>
      <c r="C1647" s="66">
        <v>17682.900000000001</v>
      </c>
      <c r="D1647" s="66">
        <v>17690.05</v>
      </c>
      <c r="E1647" s="66">
        <v>17467.349999999999</v>
      </c>
      <c r="F1647" s="67" t="s">
        <v>839</v>
      </c>
      <c r="G1647" s="68">
        <v>-1.5100000000000001E-2</v>
      </c>
      <c r="H1647" s="64"/>
    </row>
    <row r="1648" spans="1:8" x14ac:dyDescent="0.25">
      <c r="A1648" s="65">
        <v>44796</v>
      </c>
      <c r="B1648" s="66">
        <v>17577.5</v>
      </c>
      <c r="C1648" s="66">
        <v>17357.349999999999</v>
      </c>
      <c r="D1648" s="66">
        <v>17625.55</v>
      </c>
      <c r="E1648" s="66">
        <v>17345.2</v>
      </c>
      <c r="F1648" s="67" t="s">
        <v>1086</v>
      </c>
      <c r="G1648" s="68">
        <v>5.0000000000000001E-3</v>
      </c>
      <c r="H1648" s="64"/>
    </row>
    <row r="1649" spans="1:8" x14ac:dyDescent="0.25">
      <c r="A1649" s="65">
        <v>44797</v>
      </c>
      <c r="B1649" s="66">
        <v>17604.95</v>
      </c>
      <c r="C1649" s="66">
        <v>17525.45</v>
      </c>
      <c r="D1649" s="66">
        <v>17623.650000000001</v>
      </c>
      <c r="E1649" s="66">
        <v>17499.25</v>
      </c>
      <c r="F1649" s="67" t="s">
        <v>1085</v>
      </c>
      <c r="G1649" s="68">
        <v>1.6000000000000001E-3</v>
      </c>
      <c r="H1649" s="64"/>
    </row>
    <row r="1650" spans="1:8" x14ac:dyDescent="0.25">
      <c r="A1650" s="65">
        <v>44798</v>
      </c>
      <c r="B1650" s="66">
        <v>17522.45</v>
      </c>
      <c r="C1650" s="66">
        <v>17679</v>
      </c>
      <c r="D1650" s="66">
        <v>17726.5</v>
      </c>
      <c r="E1650" s="66">
        <v>17487.45</v>
      </c>
      <c r="F1650" s="67" t="s">
        <v>1084</v>
      </c>
      <c r="G1650" s="68">
        <v>-4.7000000000000002E-3</v>
      </c>
      <c r="H1650" s="64"/>
    </row>
    <row r="1651" spans="1:8" x14ac:dyDescent="0.25">
      <c r="A1651" s="65">
        <v>44799</v>
      </c>
      <c r="B1651" s="66">
        <v>17558.900000000001</v>
      </c>
      <c r="C1651" s="66">
        <v>17619.3</v>
      </c>
      <c r="D1651" s="66">
        <v>17685.849999999999</v>
      </c>
      <c r="E1651" s="66">
        <v>17519.349999999999</v>
      </c>
      <c r="F1651" s="67" t="s">
        <v>1083</v>
      </c>
      <c r="G1651" s="68">
        <v>2.0999999999999999E-3</v>
      </c>
      <c r="H1651" s="64"/>
    </row>
    <row r="1652" spans="1:8" x14ac:dyDescent="0.25">
      <c r="A1652" s="65">
        <v>44802</v>
      </c>
      <c r="B1652" s="66">
        <v>17312.900000000001</v>
      </c>
      <c r="C1652" s="66">
        <v>17188.650000000001</v>
      </c>
      <c r="D1652" s="66">
        <v>17380.150000000001</v>
      </c>
      <c r="E1652" s="66">
        <v>17166.2</v>
      </c>
      <c r="F1652" s="67" t="s">
        <v>1082</v>
      </c>
      <c r="G1652" s="68">
        <v>-1.4E-2</v>
      </c>
      <c r="H1652" s="64"/>
    </row>
    <row r="1653" spans="1:8" x14ac:dyDescent="0.25">
      <c r="A1653" s="65">
        <v>44803</v>
      </c>
      <c r="B1653" s="66">
        <v>17759.3</v>
      </c>
      <c r="C1653" s="66">
        <v>17414.95</v>
      </c>
      <c r="D1653" s="66">
        <v>17777.650000000001</v>
      </c>
      <c r="E1653" s="66">
        <v>17401.5</v>
      </c>
      <c r="F1653" s="67" t="s">
        <v>1081</v>
      </c>
      <c r="G1653" s="68">
        <v>2.58E-2</v>
      </c>
      <c r="H1653" s="64"/>
    </row>
    <row r="1654" spans="1:8" x14ac:dyDescent="0.25">
      <c r="A1654" s="65">
        <v>44805</v>
      </c>
      <c r="B1654" s="66">
        <v>17542.8</v>
      </c>
      <c r="C1654" s="66">
        <v>17485.7</v>
      </c>
      <c r="D1654" s="66">
        <v>17695.599999999999</v>
      </c>
      <c r="E1654" s="66">
        <v>17468.45</v>
      </c>
      <c r="F1654" s="67" t="s">
        <v>1080</v>
      </c>
      <c r="G1654" s="68">
        <v>-1.2200000000000001E-2</v>
      </c>
      <c r="H1654" s="64"/>
    </row>
    <row r="1655" spans="1:8" x14ac:dyDescent="0.25">
      <c r="A1655" s="65">
        <v>44806</v>
      </c>
      <c r="B1655" s="66">
        <v>17539.45</v>
      </c>
      <c r="C1655" s="66">
        <v>17598.400000000001</v>
      </c>
      <c r="D1655" s="66">
        <v>17643.849999999999</v>
      </c>
      <c r="E1655" s="66">
        <v>17476.45</v>
      </c>
      <c r="F1655" s="67" t="s">
        <v>1079</v>
      </c>
      <c r="G1655" s="68">
        <v>-2.0000000000000001E-4</v>
      </c>
      <c r="H1655" s="64"/>
    </row>
    <row r="1656" spans="1:8" x14ac:dyDescent="0.25">
      <c r="A1656" s="65">
        <v>44809</v>
      </c>
      <c r="B1656" s="66">
        <v>17665.8</v>
      </c>
      <c r="C1656" s="66">
        <v>17546.45</v>
      </c>
      <c r="D1656" s="66">
        <v>17683.150000000001</v>
      </c>
      <c r="E1656" s="66">
        <v>17540.349999999999</v>
      </c>
      <c r="F1656" s="67" t="s">
        <v>810</v>
      </c>
      <c r="G1656" s="68">
        <v>7.1999999999999998E-3</v>
      </c>
      <c r="H1656" s="64"/>
    </row>
    <row r="1657" spans="1:8" x14ac:dyDescent="0.25">
      <c r="A1657" s="65">
        <v>44810</v>
      </c>
      <c r="B1657" s="66">
        <v>17655.599999999999</v>
      </c>
      <c r="C1657" s="66">
        <v>17695.7</v>
      </c>
      <c r="D1657" s="66">
        <v>17764.650000000001</v>
      </c>
      <c r="E1657" s="66">
        <v>17587.650000000001</v>
      </c>
      <c r="F1657" s="67" t="s">
        <v>1078</v>
      </c>
      <c r="G1657" s="68">
        <v>-5.9999999999999995E-4</v>
      </c>
      <c r="H1657" s="64"/>
    </row>
    <row r="1658" spans="1:8" x14ac:dyDescent="0.25">
      <c r="A1658" s="65">
        <v>44811</v>
      </c>
      <c r="B1658" s="66">
        <v>17624.400000000001</v>
      </c>
      <c r="C1658" s="66">
        <v>17519.400000000001</v>
      </c>
      <c r="D1658" s="66">
        <v>17650.75</v>
      </c>
      <c r="E1658" s="66">
        <v>17484.3</v>
      </c>
      <c r="F1658" s="67" t="s">
        <v>1077</v>
      </c>
      <c r="G1658" s="68">
        <v>-1.8E-3</v>
      </c>
      <c r="H1658" s="64"/>
    </row>
    <row r="1659" spans="1:8" x14ac:dyDescent="0.25">
      <c r="A1659" s="65">
        <v>44812</v>
      </c>
      <c r="B1659" s="66">
        <v>17798.75</v>
      </c>
      <c r="C1659" s="66">
        <v>17748.150000000001</v>
      </c>
      <c r="D1659" s="66">
        <v>17807.650000000001</v>
      </c>
      <c r="E1659" s="66">
        <v>17691.95</v>
      </c>
      <c r="F1659" s="67" t="s">
        <v>1076</v>
      </c>
      <c r="G1659" s="68">
        <v>9.9000000000000008E-3</v>
      </c>
      <c r="H1659" s="64"/>
    </row>
    <row r="1660" spans="1:8" x14ac:dyDescent="0.25">
      <c r="A1660" s="65">
        <v>44813</v>
      </c>
      <c r="B1660" s="66">
        <v>17833.349999999999</v>
      </c>
      <c r="C1660" s="66">
        <v>17923.349999999999</v>
      </c>
      <c r="D1660" s="66">
        <v>17925.95</v>
      </c>
      <c r="E1660" s="66">
        <v>17786</v>
      </c>
      <c r="F1660" s="67" t="s">
        <v>1075</v>
      </c>
      <c r="G1660" s="68">
        <v>1.9E-3</v>
      </c>
      <c r="H1660" s="64"/>
    </row>
    <row r="1661" spans="1:8" x14ac:dyDescent="0.25">
      <c r="A1661" s="65">
        <v>44816</v>
      </c>
      <c r="B1661" s="66">
        <v>17936.349999999999</v>
      </c>
      <c r="C1661" s="66">
        <v>17890.849999999999</v>
      </c>
      <c r="D1661" s="66">
        <v>17980.55</v>
      </c>
      <c r="E1661" s="66">
        <v>17889.150000000001</v>
      </c>
      <c r="F1661" s="67" t="s">
        <v>1074</v>
      </c>
      <c r="G1661" s="68">
        <v>5.7999999999999996E-3</v>
      </c>
      <c r="H1661" s="64"/>
    </row>
    <row r="1662" spans="1:8" x14ac:dyDescent="0.25">
      <c r="A1662" s="65">
        <v>44817</v>
      </c>
      <c r="B1662" s="66">
        <v>18070.05</v>
      </c>
      <c r="C1662" s="66">
        <v>18044.45</v>
      </c>
      <c r="D1662" s="66">
        <v>18088.3</v>
      </c>
      <c r="E1662" s="66">
        <v>18015.45</v>
      </c>
      <c r="F1662" s="67" t="s">
        <v>1073</v>
      </c>
      <c r="G1662" s="68">
        <v>7.4999999999999997E-3</v>
      </c>
      <c r="H1662" s="64"/>
    </row>
    <row r="1663" spans="1:8" x14ac:dyDescent="0.25">
      <c r="A1663" s="65">
        <v>44818</v>
      </c>
      <c r="B1663" s="66">
        <v>18003.75</v>
      </c>
      <c r="C1663" s="66">
        <v>17771.150000000001</v>
      </c>
      <c r="D1663" s="66">
        <v>18091.55</v>
      </c>
      <c r="E1663" s="66">
        <v>17771.150000000001</v>
      </c>
      <c r="F1663" s="67" t="s">
        <v>1072</v>
      </c>
      <c r="G1663" s="68">
        <v>-3.7000000000000002E-3</v>
      </c>
      <c r="H1663" s="64"/>
    </row>
    <row r="1664" spans="1:8" x14ac:dyDescent="0.25">
      <c r="A1664" s="65">
        <v>44819</v>
      </c>
      <c r="B1664" s="66">
        <v>17877.400000000001</v>
      </c>
      <c r="C1664" s="66">
        <v>18046.349999999999</v>
      </c>
      <c r="D1664" s="66">
        <v>18096.150000000001</v>
      </c>
      <c r="E1664" s="66">
        <v>17861.5</v>
      </c>
      <c r="F1664" s="67" t="s">
        <v>1071</v>
      </c>
      <c r="G1664" s="68">
        <v>-7.0000000000000001E-3</v>
      </c>
      <c r="H1664" s="64"/>
    </row>
    <row r="1665" spans="1:8" x14ac:dyDescent="0.25">
      <c r="A1665" s="65">
        <v>44820</v>
      </c>
      <c r="B1665" s="66">
        <v>17530.849999999999</v>
      </c>
      <c r="C1665" s="66">
        <v>17796.8</v>
      </c>
      <c r="D1665" s="66">
        <v>17820.05</v>
      </c>
      <c r="E1665" s="66">
        <v>17497.25</v>
      </c>
      <c r="F1665" s="67" t="s">
        <v>1070</v>
      </c>
      <c r="G1665" s="68">
        <v>-1.9400000000000001E-2</v>
      </c>
      <c r="H1665" s="64"/>
    </row>
    <row r="1666" spans="1:8" x14ac:dyDescent="0.25">
      <c r="A1666" s="65">
        <v>44823</v>
      </c>
      <c r="B1666" s="66">
        <v>17622.25</v>
      </c>
      <c r="C1666" s="66">
        <v>17540.650000000001</v>
      </c>
      <c r="D1666" s="66">
        <v>17667.2</v>
      </c>
      <c r="E1666" s="66">
        <v>17429.7</v>
      </c>
      <c r="F1666" s="67" t="s">
        <v>1069</v>
      </c>
      <c r="G1666" s="68">
        <v>5.1999999999999998E-3</v>
      </c>
      <c r="H1666" s="64"/>
    </row>
    <row r="1667" spans="1:8" x14ac:dyDescent="0.25">
      <c r="A1667" s="65">
        <v>44824</v>
      </c>
      <c r="B1667" s="66">
        <v>17816.25</v>
      </c>
      <c r="C1667" s="66">
        <v>17770.400000000001</v>
      </c>
      <c r="D1667" s="66">
        <v>17919.3</v>
      </c>
      <c r="E1667" s="66">
        <v>17744.400000000001</v>
      </c>
      <c r="F1667" s="67" t="s">
        <v>1068</v>
      </c>
      <c r="G1667" s="68">
        <v>1.0999999999999999E-2</v>
      </c>
      <c r="H1667" s="64"/>
    </row>
    <row r="1668" spans="1:8" x14ac:dyDescent="0.25">
      <c r="A1668" s="65">
        <v>44825</v>
      </c>
      <c r="B1668" s="66">
        <v>17718.349999999999</v>
      </c>
      <c r="C1668" s="66">
        <v>17766.349999999999</v>
      </c>
      <c r="D1668" s="66">
        <v>17838.7</v>
      </c>
      <c r="E1668" s="66">
        <v>17663.599999999999</v>
      </c>
      <c r="F1668" s="67" t="s">
        <v>1067</v>
      </c>
      <c r="G1668" s="68">
        <v>-5.4999999999999997E-3</v>
      </c>
      <c r="H1668" s="64"/>
    </row>
    <row r="1669" spans="1:8" x14ac:dyDescent="0.25">
      <c r="A1669" s="65">
        <v>44826</v>
      </c>
      <c r="B1669" s="66">
        <v>17629.8</v>
      </c>
      <c r="C1669" s="66">
        <v>17609.650000000001</v>
      </c>
      <c r="D1669" s="66">
        <v>17722.75</v>
      </c>
      <c r="E1669" s="66">
        <v>17532.45</v>
      </c>
      <c r="F1669" s="67" t="s">
        <v>1066</v>
      </c>
      <c r="G1669" s="68">
        <v>-5.0000000000000001E-3</v>
      </c>
      <c r="H1669" s="64"/>
    </row>
    <row r="1670" spans="1:8" x14ac:dyDescent="0.25">
      <c r="A1670" s="65">
        <v>44827</v>
      </c>
      <c r="B1670" s="66">
        <v>17327.349999999999</v>
      </c>
      <c r="C1670" s="66">
        <v>17593.849999999999</v>
      </c>
      <c r="D1670" s="66">
        <v>17642.150000000001</v>
      </c>
      <c r="E1670" s="66">
        <v>17291.650000000001</v>
      </c>
      <c r="F1670" s="67" t="s">
        <v>1065</v>
      </c>
      <c r="G1670" s="68">
        <v>-1.72E-2</v>
      </c>
      <c r="H1670" s="64"/>
    </row>
    <row r="1671" spans="1:8" x14ac:dyDescent="0.25">
      <c r="A1671" s="65">
        <v>44830</v>
      </c>
      <c r="B1671" s="66">
        <v>17016.3</v>
      </c>
      <c r="C1671" s="66">
        <v>17156.3</v>
      </c>
      <c r="D1671" s="66">
        <v>17196.400000000001</v>
      </c>
      <c r="E1671" s="66">
        <v>16978.3</v>
      </c>
      <c r="F1671" s="67" t="s">
        <v>1064</v>
      </c>
      <c r="G1671" s="68">
        <v>-1.7999999999999999E-2</v>
      </c>
      <c r="H1671" s="64"/>
    </row>
    <row r="1672" spans="1:8" x14ac:dyDescent="0.25">
      <c r="A1672" s="65">
        <v>44831</v>
      </c>
      <c r="B1672" s="66">
        <v>17007.400000000001</v>
      </c>
      <c r="C1672" s="66">
        <v>17110.900000000001</v>
      </c>
      <c r="D1672" s="66">
        <v>17176.45</v>
      </c>
      <c r="E1672" s="66">
        <v>16942.349999999999</v>
      </c>
      <c r="F1672" s="67" t="s">
        <v>1063</v>
      </c>
      <c r="G1672" s="68">
        <v>-5.0000000000000001E-4</v>
      </c>
      <c r="H1672" s="64"/>
    </row>
    <row r="1673" spans="1:8" x14ac:dyDescent="0.25">
      <c r="A1673" s="65">
        <v>44832</v>
      </c>
      <c r="B1673" s="66">
        <v>16858.599999999999</v>
      </c>
      <c r="C1673" s="66">
        <v>16870.55</v>
      </c>
      <c r="D1673" s="66">
        <v>17037.599999999999</v>
      </c>
      <c r="E1673" s="66">
        <v>16820.400000000001</v>
      </c>
      <c r="F1673" s="67" t="s">
        <v>1062</v>
      </c>
      <c r="G1673" s="68">
        <v>-8.6999999999999994E-3</v>
      </c>
      <c r="H1673" s="64"/>
    </row>
    <row r="1674" spans="1:8" x14ac:dyDescent="0.25">
      <c r="A1674" s="65">
        <v>44833</v>
      </c>
      <c r="B1674" s="66">
        <v>16818.099999999999</v>
      </c>
      <c r="C1674" s="66">
        <v>16993.599999999999</v>
      </c>
      <c r="D1674" s="66">
        <v>17026.05</v>
      </c>
      <c r="E1674" s="66">
        <v>16788.599999999999</v>
      </c>
      <c r="F1674" s="67" t="s">
        <v>1061</v>
      </c>
      <c r="G1674" s="68">
        <v>-2.3999999999999998E-3</v>
      </c>
      <c r="H1674" s="64"/>
    </row>
    <row r="1675" spans="1:8" x14ac:dyDescent="0.25">
      <c r="A1675" s="65">
        <v>44834</v>
      </c>
      <c r="B1675" s="66">
        <v>17094.349999999999</v>
      </c>
      <c r="C1675" s="66">
        <v>16798.05</v>
      </c>
      <c r="D1675" s="66">
        <v>17187.099999999999</v>
      </c>
      <c r="E1675" s="66">
        <v>16747.7</v>
      </c>
      <c r="F1675" s="67" t="s">
        <v>1060</v>
      </c>
      <c r="G1675" s="68">
        <v>1.6400000000000001E-2</v>
      </c>
      <c r="H1675" s="64"/>
    </row>
    <row r="1676" spans="1:8" x14ac:dyDescent="0.25">
      <c r="A1676" s="65">
        <v>44837</v>
      </c>
      <c r="B1676" s="66">
        <v>16887.349999999999</v>
      </c>
      <c r="C1676" s="66">
        <v>17102.099999999999</v>
      </c>
      <c r="D1676" s="66">
        <v>17114.650000000001</v>
      </c>
      <c r="E1676" s="66">
        <v>16855.55</v>
      </c>
      <c r="F1676" s="67" t="s">
        <v>1059</v>
      </c>
      <c r="G1676" s="68">
        <v>-1.21E-2</v>
      </c>
      <c r="H1676" s="64"/>
    </row>
    <row r="1677" spans="1:8" x14ac:dyDescent="0.25">
      <c r="A1677" s="65">
        <v>44838</v>
      </c>
      <c r="B1677" s="66">
        <v>17274.3</v>
      </c>
      <c r="C1677" s="66">
        <v>17147.45</v>
      </c>
      <c r="D1677" s="66">
        <v>17287.3</v>
      </c>
      <c r="E1677" s="66">
        <v>17117.3</v>
      </c>
      <c r="F1677" s="67" t="s">
        <v>1058</v>
      </c>
      <c r="G1677" s="68">
        <v>2.29E-2</v>
      </c>
      <c r="H1677" s="64"/>
    </row>
    <row r="1678" spans="1:8" x14ac:dyDescent="0.25">
      <c r="A1678" s="65">
        <v>44840</v>
      </c>
      <c r="B1678" s="66">
        <v>17331.8</v>
      </c>
      <c r="C1678" s="66">
        <v>17379.25</v>
      </c>
      <c r="D1678" s="66">
        <v>17428.8</v>
      </c>
      <c r="E1678" s="66">
        <v>17315.650000000001</v>
      </c>
      <c r="F1678" s="67" t="s">
        <v>1057</v>
      </c>
      <c r="G1678" s="68">
        <v>3.3E-3</v>
      </c>
      <c r="H1678" s="64"/>
    </row>
    <row r="1679" spans="1:8" x14ac:dyDescent="0.25">
      <c r="A1679" s="65">
        <v>44841</v>
      </c>
      <c r="B1679" s="66">
        <v>17314.650000000001</v>
      </c>
      <c r="C1679" s="66">
        <v>17287.2</v>
      </c>
      <c r="D1679" s="66">
        <v>17337.349999999999</v>
      </c>
      <c r="E1679" s="66">
        <v>17216.95</v>
      </c>
      <c r="F1679" s="67" t="s">
        <v>1056</v>
      </c>
      <c r="G1679" s="68">
        <v>-1E-3</v>
      </c>
      <c r="H1679" s="64"/>
    </row>
    <row r="1680" spans="1:8" x14ac:dyDescent="0.25">
      <c r="A1680" s="65">
        <v>44844</v>
      </c>
      <c r="B1680" s="66">
        <v>17241</v>
      </c>
      <c r="C1680" s="66">
        <v>17094.349999999999</v>
      </c>
      <c r="D1680" s="66">
        <v>17280.150000000001</v>
      </c>
      <c r="E1680" s="66">
        <v>17064.7</v>
      </c>
      <c r="F1680" s="67" t="s">
        <v>1055</v>
      </c>
      <c r="G1680" s="68">
        <v>-4.3E-3</v>
      </c>
      <c r="H1680" s="64"/>
    </row>
    <row r="1681" spans="1:8" x14ac:dyDescent="0.25">
      <c r="A1681" s="65">
        <v>44845</v>
      </c>
      <c r="B1681" s="66">
        <v>16983.55</v>
      </c>
      <c r="C1681" s="66">
        <v>17256.05</v>
      </c>
      <c r="D1681" s="66">
        <v>17261.8</v>
      </c>
      <c r="E1681" s="66">
        <v>16950.3</v>
      </c>
      <c r="F1681" s="67" t="s">
        <v>1054</v>
      </c>
      <c r="G1681" s="68">
        <v>-1.49E-2</v>
      </c>
      <c r="H1681" s="64"/>
    </row>
    <row r="1682" spans="1:8" x14ac:dyDescent="0.25">
      <c r="A1682" s="65">
        <v>44846</v>
      </c>
      <c r="B1682" s="66">
        <v>17123.599999999999</v>
      </c>
      <c r="C1682" s="66">
        <v>17025.55</v>
      </c>
      <c r="D1682" s="66">
        <v>17142.349999999999</v>
      </c>
      <c r="E1682" s="66">
        <v>16960.05</v>
      </c>
      <c r="F1682" s="67" t="s">
        <v>1053</v>
      </c>
      <c r="G1682" s="68">
        <v>8.2000000000000007E-3</v>
      </c>
      <c r="H1682" s="64"/>
    </row>
    <row r="1683" spans="1:8" x14ac:dyDescent="0.25">
      <c r="A1683" s="65">
        <v>44847</v>
      </c>
      <c r="B1683" s="66">
        <v>17014.349999999999</v>
      </c>
      <c r="C1683" s="66">
        <v>17087.349999999999</v>
      </c>
      <c r="D1683" s="66">
        <v>17112.349999999999</v>
      </c>
      <c r="E1683" s="66">
        <v>16956.95</v>
      </c>
      <c r="F1683" s="67" t="s">
        <v>1052</v>
      </c>
      <c r="G1683" s="68">
        <v>-6.4000000000000003E-3</v>
      </c>
      <c r="H1683" s="64"/>
    </row>
    <row r="1684" spans="1:8" x14ac:dyDescent="0.25">
      <c r="A1684" s="65">
        <v>44848</v>
      </c>
      <c r="B1684" s="66">
        <v>17185.7</v>
      </c>
      <c r="C1684" s="66">
        <v>17322.3</v>
      </c>
      <c r="D1684" s="66">
        <v>17348.55</v>
      </c>
      <c r="E1684" s="66">
        <v>17169.75</v>
      </c>
      <c r="F1684" s="67" t="s">
        <v>1051</v>
      </c>
      <c r="G1684" s="68">
        <v>1.01E-2</v>
      </c>
      <c r="H1684" s="64"/>
    </row>
    <row r="1685" spans="1:8" x14ac:dyDescent="0.25">
      <c r="A1685" s="65">
        <v>44851</v>
      </c>
      <c r="B1685" s="66">
        <v>17311.8</v>
      </c>
      <c r="C1685" s="66">
        <v>17144.8</v>
      </c>
      <c r="D1685" s="66">
        <v>17328.55</v>
      </c>
      <c r="E1685" s="66">
        <v>17098.55</v>
      </c>
      <c r="F1685" s="67" t="s">
        <v>1050</v>
      </c>
      <c r="G1685" s="68">
        <v>7.3000000000000001E-3</v>
      </c>
      <c r="H1685" s="64"/>
    </row>
    <row r="1686" spans="1:8" x14ac:dyDescent="0.25">
      <c r="A1686" s="65">
        <v>44852</v>
      </c>
      <c r="B1686" s="66">
        <v>17486.95</v>
      </c>
      <c r="C1686" s="66">
        <v>17438.75</v>
      </c>
      <c r="D1686" s="66">
        <v>17527.8</v>
      </c>
      <c r="E1686" s="66">
        <v>17434.05</v>
      </c>
      <c r="F1686" s="67" t="s">
        <v>1049</v>
      </c>
      <c r="G1686" s="68">
        <v>1.01E-2</v>
      </c>
      <c r="H1686" s="64"/>
    </row>
    <row r="1687" spans="1:8" x14ac:dyDescent="0.25">
      <c r="A1687" s="65">
        <v>44853</v>
      </c>
      <c r="B1687" s="66">
        <v>17512.25</v>
      </c>
      <c r="C1687" s="66">
        <v>17568.150000000001</v>
      </c>
      <c r="D1687" s="66">
        <v>17607.599999999999</v>
      </c>
      <c r="E1687" s="66">
        <v>17472.849999999999</v>
      </c>
      <c r="F1687" s="67" t="s">
        <v>1048</v>
      </c>
      <c r="G1687" s="68">
        <v>1.4E-3</v>
      </c>
      <c r="H1687" s="64"/>
    </row>
    <row r="1688" spans="1:8" x14ac:dyDescent="0.25">
      <c r="A1688" s="65">
        <v>44854</v>
      </c>
      <c r="B1688" s="66">
        <v>17563.95</v>
      </c>
      <c r="C1688" s="66">
        <v>17423.099999999999</v>
      </c>
      <c r="D1688" s="66">
        <v>17584.150000000001</v>
      </c>
      <c r="E1688" s="66">
        <v>17421</v>
      </c>
      <c r="F1688" s="67" t="s">
        <v>1047</v>
      </c>
      <c r="G1688" s="68">
        <v>3.0000000000000001E-3</v>
      </c>
      <c r="H1688" s="64"/>
    </row>
    <row r="1689" spans="1:8" x14ac:dyDescent="0.25">
      <c r="A1689" s="65">
        <v>44855</v>
      </c>
      <c r="B1689" s="66">
        <v>17576.3</v>
      </c>
      <c r="C1689" s="66">
        <v>17622.849999999999</v>
      </c>
      <c r="D1689" s="66">
        <v>17670.150000000001</v>
      </c>
      <c r="E1689" s="66">
        <v>17520.75</v>
      </c>
      <c r="F1689" s="67" t="s">
        <v>1046</v>
      </c>
      <c r="G1689" s="68">
        <v>6.9999999999999999E-4</v>
      </c>
      <c r="H1689" s="64"/>
    </row>
    <row r="1690" spans="1:8" x14ac:dyDescent="0.25">
      <c r="A1690" s="65">
        <v>44858</v>
      </c>
      <c r="B1690" s="66">
        <v>17730.75</v>
      </c>
      <c r="C1690" s="66">
        <v>17736.349999999999</v>
      </c>
      <c r="D1690" s="66">
        <v>17777.55</v>
      </c>
      <c r="E1690" s="66">
        <v>17707.400000000001</v>
      </c>
      <c r="F1690" s="67" t="s">
        <v>1045</v>
      </c>
      <c r="G1690" s="68">
        <v>8.8000000000000005E-3</v>
      </c>
      <c r="H1690" s="64"/>
    </row>
    <row r="1691" spans="1:8" x14ac:dyDescent="0.25">
      <c r="A1691" s="65">
        <v>44859</v>
      </c>
      <c r="B1691" s="66">
        <v>17656.349999999999</v>
      </c>
      <c r="C1691" s="66">
        <v>17808.3</v>
      </c>
      <c r="D1691" s="66">
        <v>17811.5</v>
      </c>
      <c r="E1691" s="66">
        <v>17637</v>
      </c>
      <c r="F1691" s="67" t="s">
        <v>1044</v>
      </c>
      <c r="G1691" s="68">
        <v>-4.1999999999999997E-3</v>
      </c>
      <c r="H1691" s="64"/>
    </row>
    <row r="1692" spans="1:8" x14ac:dyDescent="0.25">
      <c r="A1692" s="65">
        <v>44861</v>
      </c>
      <c r="B1692" s="66">
        <v>17736.95</v>
      </c>
      <c r="C1692" s="66">
        <v>17771.400000000001</v>
      </c>
      <c r="D1692" s="66">
        <v>17783.900000000001</v>
      </c>
      <c r="E1692" s="66">
        <v>17654.5</v>
      </c>
      <c r="F1692" s="67" t="s">
        <v>1043</v>
      </c>
      <c r="G1692" s="68">
        <v>4.5999999999999999E-3</v>
      </c>
      <c r="H1692" s="64"/>
    </row>
    <row r="1693" spans="1:8" x14ac:dyDescent="0.25">
      <c r="A1693" s="65">
        <v>44862</v>
      </c>
      <c r="B1693" s="66">
        <v>17786.8</v>
      </c>
      <c r="C1693" s="66">
        <v>17756.400000000001</v>
      </c>
      <c r="D1693" s="66">
        <v>17838.900000000001</v>
      </c>
      <c r="E1693" s="66">
        <v>17723.7</v>
      </c>
      <c r="F1693" s="67" t="s">
        <v>1042</v>
      </c>
      <c r="G1693" s="68">
        <v>2.8E-3</v>
      </c>
      <c r="H1693" s="64"/>
    </row>
    <row r="1694" spans="1:8" x14ac:dyDescent="0.25">
      <c r="A1694" s="65">
        <v>44865</v>
      </c>
      <c r="B1694" s="66">
        <v>18012.2</v>
      </c>
      <c r="C1694" s="66">
        <v>17910.2</v>
      </c>
      <c r="D1694" s="66">
        <v>18022.8</v>
      </c>
      <c r="E1694" s="66">
        <v>17899.900000000001</v>
      </c>
      <c r="F1694" s="67" t="s">
        <v>1041</v>
      </c>
      <c r="G1694" s="68">
        <v>1.2699999999999999E-2</v>
      </c>
      <c r="H1694" s="64"/>
    </row>
    <row r="1695" spans="1:8" x14ac:dyDescent="0.25">
      <c r="A1695" s="65">
        <v>44866</v>
      </c>
      <c r="B1695" s="66">
        <v>18145.400000000001</v>
      </c>
      <c r="C1695" s="66">
        <v>18130.7</v>
      </c>
      <c r="D1695" s="66">
        <v>18175.8</v>
      </c>
      <c r="E1695" s="66">
        <v>18060.150000000001</v>
      </c>
      <c r="F1695" s="67" t="s">
        <v>1040</v>
      </c>
      <c r="G1695" s="68">
        <v>7.4000000000000003E-3</v>
      </c>
      <c r="H1695" s="64"/>
    </row>
    <row r="1696" spans="1:8" x14ac:dyDescent="0.25">
      <c r="A1696" s="65">
        <v>44867</v>
      </c>
      <c r="B1696" s="66">
        <v>18082.849999999999</v>
      </c>
      <c r="C1696" s="66">
        <v>18177.900000000001</v>
      </c>
      <c r="D1696" s="66">
        <v>18178.75</v>
      </c>
      <c r="E1696" s="66">
        <v>18048.650000000001</v>
      </c>
      <c r="F1696" s="67" t="s">
        <v>1039</v>
      </c>
      <c r="G1696" s="68">
        <v>-3.3999999999999998E-3</v>
      </c>
      <c r="H1696" s="64"/>
    </row>
    <row r="1697" spans="1:8" x14ac:dyDescent="0.25">
      <c r="A1697" s="65">
        <v>44868</v>
      </c>
      <c r="B1697" s="66">
        <v>18052.7</v>
      </c>
      <c r="C1697" s="66">
        <v>17968.349999999999</v>
      </c>
      <c r="D1697" s="66">
        <v>18106.3</v>
      </c>
      <c r="E1697" s="66">
        <v>17959.2</v>
      </c>
      <c r="F1697" s="67" t="s">
        <v>1038</v>
      </c>
      <c r="G1697" s="68">
        <v>-1.6999999999999999E-3</v>
      </c>
      <c r="H1697" s="64"/>
    </row>
    <row r="1698" spans="1:8" x14ac:dyDescent="0.25">
      <c r="A1698" s="65">
        <v>44869</v>
      </c>
      <c r="B1698" s="66">
        <v>18117.150000000001</v>
      </c>
      <c r="C1698" s="66">
        <v>18053.400000000001</v>
      </c>
      <c r="D1698" s="66">
        <v>18135.099999999999</v>
      </c>
      <c r="E1698" s="66">
        <v>18017.150000000001</v>
      </c>
      <c r="F1698" s="67" t="s">
        <v>1037</v>
      </c>
      <c r="G1698" s="68">
        <v>3.5999999999999999E-3</v>
      </c>
      <c r="H1698" s="64"/>
    </row>
    <row r="1699" spans="1:8" x14ac:dyDescent="0.25">
      <c r="A1699" s="65">
        <v>44872</v>
      </c>
      <c r="B1699" s="66">
        <v>18202.8</v>
      </c>
      <c r="C1699" s="66">
        <v>18211.75</v>
      </c>
      <c r="D1699" s="66">
        <v>18255.5</v>
      </c>
      <c r="E1699" s="66">
        <v>18064.75</v>
      </c>
      <c r="F1699" s="67" t="s">
        <v>1036</v>
      </c>
      <c r="G1699" s="68">
        <v>4.7000000000000002E-3</v>
      </c>
      <c r="H1699" s="64"/>
    </row>
    <row r="1700" spans="1:8" x14ac:dyDescent="0.25">
      <c r="A1700" s="65">
        <v>44874</v>
      </c>
      <c r="B1700" s="66">
        <v>18157</v>
      </c>
      <c r="C1700" s="66">
        <v>18288.25</v>
      </c>
      <c r="D1700" s="66">
        <v>18296.400000000001</v>
      </c>
      <c r="E1700" s="66">
        <v>18117.5</v>
      </c>
      <c r="F1700" s="67" t="s">
        <v>1035</v>
      </c>
      <c r="G1700" s="68">
        <v>-2.5000000000000001E-3</v>
      </c>
      <c r="H1700" s="64"/>
    </row>
    <row r="1701" spans="1:8" x14ac:dyDescent="0.25">
      <c r="A1701" s="65">
        <v>44875</v>
      </c>
      <c r="B1701" s="66">
        <v>18028.2</v>
      </c>
      <c r="C1701" s="66">
        <v>18044.349999999999</v>
      </c>
      <c r="D1701" s="66">
        <v>18103.099999999999</v>
      </c>
      <c r="E1701" s="66">
        <v>17969.400000000001</v>
      </c>
      <c r="F1701" s="67" t="s">
        <v>1034</v>
      </c>
      <c r="G1701" s="68">
        <v>-7.1000000000000004E-3</v>
      </c>
      <c r="H1701" s="64"/>
    </row>
    <row r="1702" spans="1:8" x14ac:dyDescent="0.25">
      <c r="A1702" s="65">
        <v>44876</v>
      </c>
      <c r="B1702" s="66">
        <v>18349.7</v>
      </c>
      <c r="C1702" s="66">
        <v>18272.349999999999</v>
      </c>
      <c r="D1702" s="66">
        <v>18362.3</v>
      </c>
      <c r="E1702" s="66">
        <v>18259.349999999999</v>
      </c>
      <c r="F1702" s="67" t="s">
        <v>1033</v>
      </c>
      <c r="G1702" s="68">
        <v>1.78E-2</v>
      </c>
      <c r="H1702" s="64"/>
    </row>
    <row r="1703" spans="1:8" x14ac:dyDescent="0.25">
      <c r="A1703" s="65">
        <v>44879</v>
      </c>
      <c r="B1703" s="66">
        <v>18329.150000000001</v>
      </c>
      <c r="C1703" s="66">
        <v>18376.400000000001</v>
      </c>
      <c r="D1703" s="66">
        <v>18399.45</v>
      </c>
      <c r="E1703" s="66">
        <v>18311.400000000001</v>
      </c>
      <c r="F1703" s="67" t="s">
        <v>1032</v>
      </c>
      <c r="G1703" s="68">
        <v>-1.1000000000000001E-3</v>
      </c>
      <c r="H1703" s="64"/>
    </row>
    <row r="1704" spans="1:8" x14ac:dyDescent="0.25">
      <c r="A1704" s="65">
        <v>44880</v>
      </c>
      <c r="B1704" s="66">
        <v>18403.400000000001</v>
      </c>
      <c r="C1704" s="66">
        <v>18362.75</v>
      </c>
      <c r="D1704" s="66">
        <v>18427.95</v>
      </c>
      <c r="E1704" s="66">
        <v>18282</v>
      </c>
      <c r="F1704" s="67" t="s">
        <v>1031</v>
      </c>
      <c r="G1704" s="68">
        <v>4.1000000000000003E-3</v>
      </c>
      <c r="H1704" s="64"/>
    </row>
    <row r="1705" spans="1:8" x14ac:dyDescent="0.25">
      <c r="A1705" s="65">
        <v>44881</v>
      </c>
      <c r="B1705" s="66">
        <v>18409.650000000001</v>
      </c>
      <c r="C1705" s="66">
        <v>18398.25</v>
      </c>
      <c r="D1705" s="66">
        <v>18442.150000000001</v>
      </c>
      <c r="E1705" s="66">
        <v>18344.150000000001</v>
      </c>
      <c r="F1705" s="67" t="s">
        <v>1030</v>
      </c>
      <c r="G1705" s="68">
        <v>2.9999999999999997E-4</v>
      </c>
      <c r="H1705" s="64"/>
    </row>
    <row r="1706" spans="1:8" x14ac:dyDescent="0.25">
      <c r="A1706" s="65">
        <v>44882</v>
      </c>
      <c r="B1706" s="66">
        <v>18343.900000000001</v>
      </c>
      <c r="C1706" s="66">
        <v>18358.7</v>
      </c>
      <c r="D1706" s="66">
        <v>18417.599999999999</v>
      </c>
      <c r="E1706" s="66">
        <v>18312.95</v>
      </c>
      <c r="F1706" s="67" t="s">
        <v>1029</v>
      </c>
      <c r="G1706" s="68">
        <v>-3.5999999999999999E-3</v>
      </c>
      <c r="H1706" s="64"/>
    </row>
    <row r="1707" spans="1:8" x14ac:dyDescent="0.25">
      <c r="A1707" s="65">
        <v>44883</v>
      </c>
      <c r="B1707" s="66">
        <v>18307.650000000001</v>
      </c>
      <c r="C1707" s="66">
        <v>18382.95</v>
      </c>
      <c r="D1707" s="66">
        <v>18394.599999999999</v>
      </c>
      <c r="E1707" s="66">
        <v>18209.8</v>
      </c>
      <c r="F1707" s="67" t="s">
        <v>1028</v>
      </c>
      <c r="G1707" s="68">
        <v>-2E-3</v>
      </c>
      <c r="H1707" s="64"/>
    </row>
    <row r="1708" spans="1:8" x14ac:dyDescent="0.25">
      <c r="A1708" s="65">
        <v>44886</v>
      </c>
      <c r="B1708" s="66">
        <v>18159.95</v>
      </c>
      <c r="C1708" s="66">
        <v>18246.400000000001</v>
      </c>
      <c r="D1708" s="66">
        <v>18262.3</v>
      </c>
      <c r="E1708" s="66">
        <v>18133.349999999999</v>
      </c>
      <c r="F1708" s="67" t="s">
        <v>1027</v>
      </c>
      <c r="G1708" s="68">
        <v>-8.0999999999999996E-3</v>
      </c>
      <c r="H1708" s="64"/>
    </row>
    <row r="1709" spans="1:8" x14ac:dyDescent="0.25">
      <c r="A1709" s="65">
        <v>44887</v>
      </c>
      <c r="B1709" s="66">
        <v>18244.2</v>
      </c>
      <c r="C1709" s="66">
        <v>18179.150000000001</v>
      </c>
      <c r="D1709" s="66">
        <v>18261.849999999999</v>
      </c>
      <c r="E1709" s="66">
        <v>18137.7</v>
      </c>
      <c r="F1709" s="67" t="s">
        <v>521</v>
      </c>
      <c r="G1709" s="68">
        <v>4.5999999999999999E-3</v>
      </c>
      <c r="H1709" s="64"/>
    </row>
    <row r="1710" spans="1:8" x14ac:dyDescent="0.25">
      <c r="A1710" s="65">
        <v>44888</v>
      </c>
      <c r="B1710" s="66">
        <v>18267.25</v>
      </c>
      <c r="C1710" s="66">
        <v>18325.2</v>
      </c>
      <c r="D1710" s="66">
        <v>18325.400000000001</v>
      </c>
      <c r="E1710" s="66">
        <v>18246</v>
      </c>
      <c r="F1710" s="67" t="s">
        <v>1026</v>
      </c>
      <c r="G1710" s="68">
        <v>1.2999999999999999E-3</v>
      </c>
      <c r="H1710" s="64"/>
    </row>
    <row r="1711" spans="1:8" x14ac:dyDescent="0.25">
      <c r="A1711" s="65">
        <v>44889</v>
      </c>
      <c r="B1711" s="66">
        <v>18484.099999999999</v>
      </c>
      <c r="C1711" s="66">
        <v>18326.099999999999</v>
      </c>
      <c r="D1711" s="66">
        <v>18529.7</v>
      </c>
      <c r="E1711" s="66">
        <v>18294.25</v>
      </c>
      <c r="F1711" s="67" t="s">
        <v>1025</v>
      </c>
      <c r="G1711" s="68">
        <v>1.1900000000000001E-2</v>
      </c>
      <c r="H1711" s="64"/>
    </row>
    <row r="1712" spans="1:8" x14ac:dyDescent="0.25">
      <c r="A1712" s="65">
        <v>44890</v>
      </c>
      <c r="B1712" s="66">
        <v>18512.75</v>
      </c>
      <c r="C1712" s="66">
        <v>18528.45</v>
      </c>
      <c r="D1712" s="66">
        <v>18534.900000000001</v>
      </c>
      <c r="E1712" s="66">
        <v>18445.099999999999</v>
      </c>
      <c r="F1712" s="67" t="s">
        <v>1024</v>
      </c>
      <c r="G1712" s="68">
        <v>1.6000000000000001E-3</v>
      </c>
      <c r="H1712" s="64"/>
    </row>
    <row r="1713" spans="1:8" x14ac:dyDescent="0.25">
      <c r="A1713" s="65">
        <v>44893</v>
      </c>
      <c r="B1713" s="66">
        <v>18562.75</v>
      </c>
      <c r="C1713" s="66">
        <v>18430.55</v>
      </c>
      <c r="D1713" s="66">
        <v>18614.25</v>
      </c>
      <c r="E1713" s="66">
        <v>18365.599999999999</v>
      </c>
      <c r="F1713" s="67" t="s">
        <v>1023</v>
      </c>
      <c r="G1713" s="68">
        <v>2.7000000000000001E-3</v>
      </c>
      <c r="H1713" s="64"/>
    </row>
    <row r="1714" spans="1:8" x14ac:dyDescent="0.25">
      <c r="A1714" s="65">
        <v>44894</v>
      </c>
      <c r="B1714" s="66">
        <v>18618.05</v>
      </c>
      <c r="C1714" s="66">
        <v>18552.45</v>
      </c>
      <c r="D1714" s="66">
        <v>18678.099999999999</v>
      </c>
      <c r="E1714" s="66">
        <v>18552.150000000001</v>
      </c>
      <c r="F1714" s="67" t="s">
        <v>1022</v>
      </c>
      <c r="G1714" s="68">
        <v>3.0000000000000001E-3</v>
      </c>
      <c r="H1714" s="64"/>
    </row>
    <row r="1715" spans="1:8" x14ac:dyDescent="0.25">
      <c r="A1715" s="65">
        <v>44895</v>
      </c>
      <c r="B1715" s="66">
        <v>18758.349999999999</v>
      </c>
      <c r="C1715" s="66">
        <v>18625.7</v>
      </c>
      <c r="D1715" s="66">
        <v>18816.05</v>
      </c>
      <c r="E1715" s="66">
        <v>18616.55</v>
      </c>
      <c r="F1715" s="67" t="s">
        <v>1021</v>
      </c>
      <c r="G1715" s="68">
        <v>7.4999999999999997E-3</v>
      </c>
      <c r="H1715" s="64"/>
    </row>
    <row r="1716" spans="1:8" x14ac:dyDescent="0.25">
      <c r="A1716" s="65">
        <v>44896</v>
      </c>
      <c r="B1716" s="66">
        <v>18812.5</v>
      </c>
      <c r="C1716" s="66">
        <v>18871.95</v>
      </c>
      <c r="D1716" s="66">
        <v>18887.599999999999</v>
      </c>
      <c r="E1716" s="66">
        <v>18778.2</v>
      </c>
      <c r="F1716" s="67" t="s">
        <v>1020</v>
      </c>
      <c r="G1716" s="68">
        <v>2.8999999999999998E-3</v>
      </c>
      <c r="H1716" s="64"/>
    </row>
    <row r="1717" spans="1:8" x14ac:dyDescent="0.25">
      <c r="A1717" s="65">
        <v>44897</v>
      </c>
      <c r="B1717" s="66">
        <v>18696.099999999999</v>
      </c>
      <c r="C1717" s="66">
        <v>18752.400000000001</v>
      </c>
      <c r="D1717" s="66">
        <v>18781.95</v>
      </c>
      <c r="E1717" s="66">
        <v>18639.2</v>
      </c>
      <c r="F1717" s="67" t="s">
        <v>1019</v>
      </c>
      <c r="G1717" s="68">
        <v>-6.1999999999999998E-3</v>
      </c>
      <c r="H1717" s="64"/>
    </row>
    <row r="1718" spans="1:8" x14ac:dyDescent="0.25">
      <c r="A1718" s="65">
        <v>44900</v>
      </c>
      <c r="B1718" s="66">
        <v>18701.05</v>
      </c>
      <c r="C1718" s="66">
        <v>18719.55</v>
      </c>
      <c r="D1718" s="66">
        <v>18728.599999999999</v>
      </c>
      <c r="E1718" s="66">
        <v>18591.349999999999</v>
      </c>
      <c r="F1718" s="67" t="s">
        <v>1018</v>
      </c>
      <c r="G1718" s="68">
        <v>2.9999999999999997E-4</v>
      </c>
      <c r="H1718" s="64"/>
    </row>
    <row r="1719" spans="1:8" x14ac:dyDescent="0.25">
      <c r="A1719" s="65">
        <v>44901</v>
      </c>
      <c r="B1719" s="66">
        <v>18642.75</v>
      </c>
      <c r="C1719" s="66">
        <v>18600.650000000001</v>
      </c>
      <c r="D1719" s="66">
        <v>18654.900000000001</v>
      </c>
      <c r="E1719" s="66">
        <v>18577.900000000001</v>
      </c>
      <c r="F1719" s="67" t="s">
        <v>1017</v>
      </c>
      <c r="G1719" s="68">
        <v>-3.0999999999999999E-3</v>
      </c>
      <c r="H1719" s="64"/>
    </row>
    <row r="1720" spans="1:8" x14ac:dyDescent="0.25">
      <c r="A1720" s="65">
        <v>44902</v>
      </c>
      <c r="B1720" s="66">
        <v>18560.5</v>
      </c>
      <c r="C1720" s="66">
        <v>18638.849999999999</v>
      </c>
      <c r="D1720" s="66">
        <v>18668.3</v>
      </c>
      <c r="E1720" s="66">
        <v>18528.400000000001</v>
      </c>
      <c r="F1720" s="67" t="s">
        <v>1016</v>
      </c>
      <c r="G1720" s="68">
        <v>-4.4000000000000003E-3</v>
      </c>
      <c r="H1720" s="64"/>
    </row>
    <row r="1721" spans="1:8" x14ac:dyDescent="0.25">
      <c r="A1721" s="65">
        <v>44903</v>
      </c>
      <c r="B1721" s="66">
        <v>18609.349999999999</v>
      </c>
      <c r="C1721" s="66">
        <v>18570.849999999999</v>
      </c>
      <c r="D1721" s="66">
        <v>18625</v>
      </c>
      <c r="E1721" s="66">
        <v>18536.95</v>
      </c>
      <c r="F1721" s="67" t="s">
        <v>1015</v>
      </c>
      <c r="G1721" s="68">
        <v>2.5999999999999999E-3</v>
      </c>
      <c r="H1721" s="64"/>
    </row>
    <row r="1722" spans="1:8" x14ac:dyDescent="0.25">
      <c r="A1722" s="65">
        <v>44904</v>
      </c>
      <c r="B1722" s="66">
        <v>18496.599999999999</v>
      </c>
      <c r="C1722" s="66">
        <v>18662.400000000001</v>
      </c>
      <c r="D1722" s="66">
        <v>18664.7</v>
      </c>
      <c r="E1722" s="66">
        <v>18410.099999999999</v>
      </c>
      <c r="F1722" s="67" t="s">
        <v>1014</v>
      </c>
      <c r="G1722" s="68">
        <v>-6.1000000000000004E-3</v>
      </c>
      <c r="H1722" s="64"/>
    </row>
    <row r="1723" spans="1:8" x14ac:dyDescent="0.25">
      <c r="A1723" s="65">
        <v>44907</v>
      </c>
      <c r="B1723" s="66">
        <v>18497.150000000001</v>
      </c>
      <c r="C1723" s="66">
        <v>18402.150000000001</v>
      </c>
      <c r="D1723" s="66">
        <v>18521.55</v>
      </c>
      <c r="E1723" s="66">
        <v>18345.7</v>
      </c>
      <c r="F1723" s="67" t="s">
        <v>1013</v>
      </c>
      <c r="G1723" s="68">
        <v>0</v>
      </c>
      <c r="H1723" s="64"/>
    </row>
    <row r="1724" spans="1:8" x14ac:dyDescent="0.25">
      <c r="A1724" s="65">
        <v>44908</v>
      </c>
      <c r="B1724" s="66">
        <v>18608</v>
      </c>
      <c r="C1724" s="66">
        <v>18524.400000000001</v>
      </c>
      <c r="D1724" s="66">
        <v>18617.25</v>
      </c>
      <c r="E1724" s="66">
        <v>18490.2</v>
      </c>
      <c r="F1724" s="67" t="s">
        <v>1007</v>
      </c>
      <c r="G1724" s="68">
        <v>6.0000000000000001E-3</v>
      </c>
      <c r="H1724" s="64"/>
    </row>
    <row r="1725" spans="1:8" x14ac:dyDescent="0.25">
      <c r="A1725" s="65">
        <v>44909</v>
      </c>
      <c r="B1725" s="66">
        <v>18660.3</v>
      </c>
      <c r="C1725" s="66">
        <v>18671.25</v>
      </c>
      <c r="D1725" s="66">
        <v>18696.099999999999</v>
      </c>
      <c r="E1725" s="66">
        <v>18632.900000000001</v>
      </c>
      <c r="F1725" s="67" t="s">
        <v>1012</v>
      </c>
      <c r="G1725" s="68">
        <v>2.8E-3</v>
      </c>
      <c r="H1725" s="64"/>
    </row>
    <row r="1726" spans="1:8" x14ac:dyDescent="0.25">
      <c r="A1726" s="65">
        <v>44910</v>
      </c>
      <c r="B1726" s="66">
        <v>18414.900000000001</v>
      </c>
      <c r="C1726" s="66">
        <v>18614.400000000001</v>
      </c>
      <c r="D1726" s="66">
        <v>18652.900000000001</v>
      </c>
      <c r="E1726" s="66">
        <v>18387.7</v>
      </c>
      <c r="F1726" s="67" t="s">
        <v>1011</v>
      </c>
      <c r="G1726" s="68">
        <v>-1.32E-2</v>
      </c>
      <c r="H1726" s="64"/>
    </row>
    <row r="1727" spans="1:8" x14ac:dyDescent="0.25">
      <c r="A1727" s="65">
        <v>44911</v>
      </c>
      <c r="B1727" s="66">
        <v>18269</v>
      </c>
      <c r="C1727" s="66">
        <v>18319.099999999999</v>
      </c>
      <c r="D1727" s="66">
        <v>18440.95</v>
      </c>
      <c r="E1727" s="66">
        <v>18255.150000000001</v>
      </c>
      <c r="F1727" s="67" t="s">
        <v>1010</v>
      </c>
      <c r="G1727" s="68">
        <v>-7.9000000000000008E-3</v>
      </c>
      <c r="H1727" s="64"/>
    </row>
    <row r="1728" spans="1:8" x14ac:dyDescent="0.25">
      <c r="A1728" s="65">
        <v>44914</v>
      </c>
      <c r="B1728" s="66">
        <v>18420.45</v>
      </c>
      <c r="C1728" s="66">
        <v>18288.099999999999</v>
      </c>
      <c r="D1728" s="66">
        <v>18431.650000000001</v>
      </c>
      <c r="E1728" s="66">
        <v>18244.55</v>
      </c>
      <c r="F1728" s="67" t="s">
        <v>1009</v>
      </c>
      <c r="G1728" s="68">
        <v>8.3000000000000001E-3</v>
      </c>
      <c r="H1728" s="64"/>
    </row>
    <row r="1729" spans="1:8" x14ac:dyDescent="0.25">
      <c r="A1729" s="65">
        <v>44915</v>
      </c>
      <c r="B1729" s="66">
        <v>18385.3</v>
      </c>
      <c r="C1729" s="66">
        <v>18340.3</v>
      </c>
      <c r="D1729" s="66">
        <v>18404.900000000001</v>
      </c>
      <c r="E1729" s="66">
        <v>18202.650000000001</v>
      </c>
      <c r="F1729" s="67" t="s">
        <v>1008</v>
      </c>
      <c r="G1729" s="68">
        <v>-1.9E-3</v>
      </c>
      <c r="H1729" s="64"/>
    </row>
    <row r="1730" spans="1:8" x14ac:dyDescent="0.25">
      <c r="A1730" s="65">
        <v>44916</v>
      </c>
      <c r="B1730" s="66">
        <v>18199.099999999999</v>
      </c>
      <c r="C1730" s="66">
        <v>18435.150000000001</v>
      </c>
      <c r="D1730" s="66">
        <v>18473.349999999999</v>
      </c>
      <c r="E1730" s="66">
        <v>18162.75</v>
      </c>
      <c r="F1730" s="67" t="s">
        <v>1007</v>
      </c>
      <c r="G1730" s="68">
        <v>-1.01E-2</v>
      </c>
      <c r="H1730" s="64"/>
    </row>
    <row r="1731" spans="1:8" x14ac:dyDescent="0.25">
      <c r="A1731" s="65">
        <v>44917</v>
      </c>
      <c r="B1731" s="66">
        <v>18127.349999999999</v>
      </c>
      <c r="C1731" s="66">
        <v>18288.8</v>
      </c>
      <c r="D1731" s="66">
        <v>18318.75</v>
      </c>
      <c r="E1731" s="66">
        <v>18068.599999999999</v>
      </c>
      <c r="F1731" s="67" t="s">
        <v>1006</v>
      </c>
      <c r="G1731" s="68">
        <v>-3.8999999999999998E-3</v>
      </c>
      <c r="H1731" s="64"/>
    </row>
    <row r="1732" spans="1:8" x14ac:dyDescent="0.25">
      <c r="A1732" s="65">
        <v>44918</v>
      </c>
      <c r="B1732" s="66">
        <v>17806.8</v>
      </c>
      <c r="C1732" s="66">
        <v>17977.650000000001</v>
      </c>
      <c r="D1732" s="66">
        <v>18050.45</v>
      </c>
      <c r="E1732" s="66">
        <v>17779.5</v>
      </c>
      <c r="F1732" s="67" t="s">
        <v>1005</v>
      </c>
      <c r="G1732" s="68">
        <v>-1.77E-2</v>
      </c>
      <c r="H1732" s="64"/>
    </row>
    <row r="1733" spans="1:8" x14ac:dyDescent="0.25">
      <c r="A1733" s="65">
        <v>44921</v>
      </c>
      <c r="B1733" s="66">
        <v>18014.599999999999</v>
      </c>
      <c r="C1733" s="66">
        <v>17830.400000000001</v>
      </c>
      <c r="D1733" s="66">
        <v>18084.099999999999</v>
      </c>
      <c r="E1733" s="66">
        <v>17774.25</v>
      </c>
      <c r="F1733" s="67" t="s">
        <v>1004</v>
      </c>
      <c r="G1733" s="68">
        <v>1.17E-2</v>
      </c>
      <c r="H1733" s="64"/>
    </row>
    <row r="1734" spans="1:8" x14ac:dyDescent="0.25">
      <c r="A1734" s="65">
        <v>44922</v>
      </c>
      <c r="B1734" s="66">
        <v>18132.3</v>
      </c>
      <c r="C1734" s="66">
        <v>18089.8</v>
      </c>
      <c r="D1734" s="66">
        <v>18149.25</v>
      </c>
      <c r="E1734" s="66">
        <v>17967.45</v>
      </c>
      <c r="F1734" s="67" t="s">
        <v>1003</v>
      </c>
      <c r="G1734" s="68">
        <v>6.4999999999999997E-3</v>
      </c>
      <c r="H1734" s="64"/>
    </row>
    <row r="1735" spans="1:8" x14ac:dyDescent="0.25">
      <c r="A1735" s="65">
        <v>44923</v>
      </c>
      <c r="B1735" s="66">
        <v>18122.5</v>
      </c>
      <c r="C1735" s="66">
        <v>18084.75</v>
      </c>
      <c r="D1735" s="66">
        <v>18173.099999999999</v>
      </c>
      <c r="E1735" s="66">
        <v>18068.349999999999</v>
      </c>
      <c r="F1735" s="67" t="s">
        <v>1002</v>
      </c>
      <c r="G1735" s="68">
        <v>-5.0000000000000001E-4</v>
      </c>
      <c r="H1735" s="64"/>
    </row>
    <row r="1736" spans="1:8" x14ac:dyDescent="0.25">
      <c r="A1736" s="65">
        <v>44924</v>
      </c>
      <c r="B1736" s="66">
        <v>18191</v>
      </c>
      <c r="C1736" s="66">
        <v>18045.7</v>
      </c>
      <c r="D1736" s="66">
        <v>18229.7</v>
      </c>
      <c r="E1736" s="66">
        <v>17992.8</v>
      </c>
      <c r="F1736" s="67" t="s">
        <v>1001</v>
      </c>
      <c r="G1736" s="68">
        <v>3.8E-3</v>
      </c>
      <c r="H1736" s="64"/>
    </row>
    <row r="1737" spans="1:8" x14ac:dyDescent="0.25">
      <c r="A1737" s="65">
        <v>44925</v>
      </c>
      <c r="B1737" s="66">
        <v>18105.3</v>
      </c>
      <c r="C1737" s="66">
        <v>18259.099999999999</v>
      </c>
      <c r="D1737" s="66">
        <v>18265.25</v>
      </c>
      <c r="E1737" s="66">
        <v>18080.3</v>
      </c>
      <c r="F1737" s="67" t="s">
        <v>1000</v>
      </c>
      <c r="G1737" s="68">
        <v>-4.7000000000000002E-3</v>
      </c>
      <c r="H1737" s="64"/>
    </row>
    <row r="1738" spans="1:8" x14ac:dyDescent="0.25">
      <c r="A1738" s="65">
        <v>44928</v>
      </c>
      <c r="B1738" s="66">
        <v>18197.45</v>
      </c>
      <c r="C1738" s="66">
        <v>18131.7</v>
      </c>
      <c r="D1738" s="66">
        <v>18215.150000000001</v>
      </c>
      <c r="E1738" s="66">
        <v>18086.5</v>
      </c>
      <c r="F1738" s="67" t="s">
        <v>999</v>
      </c>
      <c r="G1738" s="68">
        <v>5.1000000000000004E-3</v>
      </c>
      <c r="H1738" s="64"/>
    </row>
    <row r="1739" spans="1:8" x14ac:dyDescent="0.25">
      <c r="A1739" s="65">
        <v>44929</v>
      </c>
      <c r="B1739" s="66">
        <v>18232.55</v>
      </c>
      <c r="C1739" s="66">
        <v>18163.2</v>
      </c>
      <c r="D1739" s="66">
        <v>18251.95</v>
      </c>
      <c r="E1739" s="66">
        <v>18149.8</v>
      </c>
      <c r="F1739" s="67" t="s">
        <v>850</v>
      </c>
      <c r="G1739" s="68">
        <v>1.9E-3</v>
      </c>
      <c r="H1739" s="64"/>
    </row>
    <row r="1740" spans="1:8" x14ac:dyDescent="0.25">
      <c r="A1740" s="65">
        <v>44930</v>
      </c>
      <c r="B1740" s="66">
        <v>18042.95</v>
      </c>
      <c r="C1740" s="66">
        <v>18230.650000000001</v>
      </c>
      <c r="D1740" s="66">
        <v>18243</v>
      </c>
      <c r="E1740" s="66">
        <v>18020.599999999999</v>
      </c>
      <c r="F1740" s="67" t="s">
        <v>998</v>
      </c>
      <c r="G1740" s="68">
        <v>-1.04E-2</v>
      </c>
      <c r="H1740" s="64"/>
    </row>
    <row r="1741" spans="1:8" x14ac:dyDescent="0.25">
      <c r="A1741" s="65">
        <v>44931</v>
      </c>
      <c r="B1741" s="66">
        <v>17992.150000000001</v>
      </c>
      <c r="C1741" s="66">
        <v>18101.95</v>
      </c>
      <c r="D1741" s="66">
        <v>18120.3</v>
      </c>
      <c r="E1741" s="66">
        <v>17892.599999999999</v>
      </c>
      <c r="F1741" s="67" t="s">
        <v>997</v>
      </c>
      <c r="G1741" s="68">
        <v>-2.8E-3</v>
      </c>
      <c r="H1741" s="64"/>
    </row>
    <row r="1742" spans="1:8" x14ac:dyDescent="0.25">
      <c r="A1742" s="65">
        <v>44932</v>
      </c>
      <c r="B1742" s="66">
        <v>17859.45</v>
      </c>
      <c r="C1742" s="66">
        <v>18008.05</v>
      </c>
      <c r="D1742" s="66">
        <v>18047.400000000001</v>
      </c>
      <c r="E1742" s="66">
        <v>17795.55</v>
      </c>
      <c r="F1742" s="67" t="s">
        <v>996</v>
      </c>
      <c r="G1742" s="68">
        <v>-7.4000000000000003E-3</v>
      </c>
      <c r="H1742" s="64"/>
    </row>
    <row r="1743" spans="1:8" x14ac:dyDescent="0.25">
      <c r="A1743" s="65">
        <v>44935</v>
      </c>
      <c r="B1743" s="66">
        <v>18101.2</v>
      </c>
      <c r="C1743" s="66">
        <v>17952.55</v>
      </c>
      <c r="D1743" s="66">
        <v>18141.400000000001</v>
      </c>
      <c r="E1743" s="66">
        <v>17936.150000000001</v>
      </c>
      <c r="F1743" s="67" t="s">
        <v>995</v>
      </c>
      <c r="G1743" s="68">
        <v>1.35E-2</v>
      </c>
      <c r="H1743" s="64"/>
    </row>
    <row r="1744" spans="1:8" x14ac:dyDescent="0.25">
      <c r="A1744" s="65">
        <v>44936</v>
      </c>
      <c r="B1744" s="66">
        <v>17914.150000000001</v>
      </c>
      <c r="C1744" s="66">
        <v>18121.3</v>
      </c>
      <c r="D1744" s="66">
        <v>18127.599999999999</v>
      </c>
      <c r="E1744" s="66">
        <v>17856</v>
      </c>
      <c r="F1744" s="67" t="s">
        <v>994</v>
      </c>
      <c r="G1744" s="68">
        <v>-1.03E-2</v>
      </c>
      <c r="H1744" s="64"/>
    </row>
    <row r="1745" spans="1:8" x14ac:dyDescent="0.25">
      <c r="A1745" s="65">
        <v>44937</v>
      </c>
      <c r="B1745" s="66">
        <v>17895.7</v>
      </c>
      <c r="C1745" s="66">
        <v>17924.25</v>
      </c>
      <c r="D1745" s="66">
        <v>17976.349999999999</v>
      </c>
      <c r="E1745" s="66">
        <v>17824.349999999999</v>
      </c>
      <c r="F1745" s="67" t="s">
        <v>993</v>
      </c>
      <c r="G1745" s="68">
        <v>-1E-3</v>
      </c>
      <c r="H1745" s="64"/>
    </row>
    <row r="1746" spans="1:8" x14ac:dyDescent="0.25">
      <c r="A1746" s="65">
        <v>44938</v>
      </c>
      <c r="B1746" s="66">
        <v>17858.2</v>
      </c>
      <c r="C1746" s="66">
        <v>17920.849999999999</v>
      </c>
      <c r="D1746" s="66">
        <v>17945.8</v>
      </c>
      <c r="E1746" s="66">
        <v>17761.650000000001</v>
      </c>
      <c r="F1746" s="67" t="s">
        <v>992</v>
      </c>
      <c r="G1746" s="68">
        <v>-2.0999999999999999E-3</v>
      </c>
      <c r="H1746" s="64"/>
    </row>
    <row r="1747" spans="1:8" x14ac:dyDescent="0.25">
      <c r="A1747" s="65">
        <v>44939</v>
      </c>
      <c r="B1747" s="66">
        <v>17956.599999999999</v>
      </c>
      <c r="C1747" s="66">
        <v>17867.5</v>
      </c>
      <c r="D1747" s="66">
        <v>17999.349999999999</v>
      </c>
      <c r="E1747" s="66">
        <v>17774.25</v>
      </c>
      <c r="F1747" s="67" t="s">
        <v>991</v>
      </c>
      <c r="G1747" s="68">
        <v>5.4999999999999997E-3</v>
      </c>
      <c r="H1747" s="64"/>
    </row>
    <row r="1748" spans="1:8" x14ac:dyDescent="0.25">
      <c r="A1748" s="65">
        <v>44942</v>
      </c>
      <c r="B1748" s="66">
        <v>17894.849999999999</v>
      </c>
      <c r="C1748" s="66">
        <v>18033.150000000001</v>
      </c>
      <c r="D1748" s="66">
        <v>18049.650000000001</v>
      </c>
      <c r="E1748" s="66">
        <v>17853.650000000001</v>
      </c>
      <c r="F1748" s="67" t="s">
        <v>990</v>
      </c>
      <c r="G1748" s="68">
        <v>-3.3999999999999998E-3</v>
      </c>
      <c r="H1748" s="64"/>
    </row>
    <row r="1749" spans="1:8" x14ac:dyDescent="0.25">
      <c r="A1749" s="65">
        <v>44943</v>
      </c>
      <c r="B1749" s="66">
        <v>18053.3</v>
      </c>
      <c r="C1749" s="66">
        <v>17922.8</v>
      </c>
      <c r="D1749" s="66">
        <v>18072.05</v>
      </c>
      <c r="E1749" s="66">
        <v>17886.95</v>
      </c>
      <c r="F1749" s="67" t="s">
        <v>989</v>
      </c>
      <c r="G1749" s="68">
        <v>8.8999999999999999E-3</v>
      </c>
      <c r="H1749" s="64"/>
    </row>
    <row r="1750" spans="1:8" x14ac:dyDescent="0.25">
      <c r="A1750" s="65">
        <v>44944</v>
      </c>
      <c r="B1750" s="66">
        <v>18165.349999999999</v>
      </c>
      <c r="C1750" s="66">
        <v>18074.3</v>
      </c>
      <c r="D1750" s="66">
        <v>18183.75</v>
      </c>
      <c r="E1750" s="66">
        <v>18032.45</v>
      </c>
      <c r="F1750" s="67" t="s">
        <v>988</v>
      </c>
      <c r="G1750" s="68">
        <v>6.1999999999999998E-3</v>
      </c>
      <c r="H1750" s="64"/>
    </row>
    <row r="1751" spans="1:8" x14ac:dyDescent="0.25">
      <c r="A1751" s="65">
        <v>44945</v>
      </c>
      <c r="B1751" s="66">
        <v>18107.849999999999</v>
      </c>
      <c r="C1751" s="66">
        <v>18119.8</v>
      </c>
      <c r="D1751" s="66">
        <v>18155.2</v>
      </c>
      <c r="E1751" s="66">
        <v>18063.75</v>
      </c>
      <c r="F1751" s="67" t="s">
        <v>987</v>
      </c>
      <c r="G1751" s="68">
        <v>-3.2000000000000002E-3</v>
      </c>
      <c r="H1751" s="64"/>
    </row>
    <row r="1752" spans="1:8" x14ac:dyDescent="0.25">
      <c r="A1752" s="65">
        <v>44946</v>
      </c>
      <c r="B1752" s="66">
        <v>18027.650000000001</v>
      </c>
      <c r="C1752" s="66">
        <v>18115.599999999999</v>
      </c>
      <c r="D1752" s="66">
        <v>18145.45</v>
      </c>
      <c r="E1752" s="66">
        <v>18016.2</v>
      </c>
      <c r="F1752" s="67" t="s">
        <v>986</v>
      </c>
      <c r="G1752" s="68">
        <v>-4.4000000000000003E-3</v>
      </c>
      <c r="H1752" s="64"/>
    </row>
    <row r="1753" spans="1:8" x14ac:dyDescent="0.25">
      <c r="A1753" s="65">
        <v>44949</v>
      </c>
      <c r="B1753" s="66">
        <v>18118.55</v>
      </c>
      <c r="C1753" s="66">
        <v>18118.45</v>
      </c>
      <c r="D1753" s="66">
        <v>18162.599999999999</v>
      </c>
      <c r="E1753" s="66">
        <v>18063.45</v>
      </c>
      <c r="F1753" s="67" t="s">
        <v>985</v>
      </c>
      <c r="G1753" s="68">
        <v>5.0000000000000001E-3</v>
      </c>
      <c r="H1753" s="64"/>
    </row>
    <row r="1754" spans="1:8" x14ac:dyDescent="0.25">
      <c r="A1754" s="65">
        <v>44950</v>
      </c>
      <c r="B1754" s="66">
        <v>18118.3</v>
      </c>
      <c r="C1754" s="66">
        <v>18183.95</v>
      </c>
      <c r="D1754" s="66">
        <v>18201.25</v>
      </c>
      <c r="E1754" s="66">
        <v>18078.650000000001</v>
      </c>
      <c r="F1754" s="67" t="s">
        <v>984</v>
      </c>
      <c r="G1754" s="68">
        <v>0</v>
      </c>
      <c r="H1754" s="64"/>
    </row>
    <row r="1755" spans="1:8" x14ac:dyDescent="0.25">
      <c r="A1755" s="65">
        <v>44951</v>
      </c>
      <c r="B1755" s="66">
        <v>17891.95</v>
      </c>
      <c r="C1755" s="66">
        <v>18093.349999999999</v>
      </c>
      <c r="D1755" s="66">
        <v>18100.599999999999</v>
      </c>
      <c r="E1755" s="66">
        <v>17846.150000000001</v>
      </c>
      <c r="F1755" s="67" t="s">
        <v>570</v>
      </c>
      <c r="G1755" s="68">
        <v>-1.2500000000000001E-2</v>
      </c>
      <c r="H1755" s="64"/>
    </row>
    <row r="1756" spans="1:8" x14ac:dyDescent="0.25">
      <c r="A1756" s="65">
        <v>44953</v>
      </c>
      <c r="B1756" s="66">
        <v>17604.349999999999</v>
      </c>
      <c r="C1756" s="66">
        <v>17877.2</v>
      </c>
      <c r="D1756" s="66">
        <v>17884.75</v>
      </c>
      <c r="E1756" s="66">
        <v>17493.55</v>
      </c>
      <c r="F1756" s="67" t="s">
        <v>983</v>
      </c>
      <c r="G1756" s="68">
        <v>-1.61E-2</v>
      </c>
      <c r="H1756" s="64"/>
    </row>
    <row r="1757" spans="1:8" x14ac:dyDescent="0.25">
      <c r="A1757" s="65">
        <v>44956</v>
      </c>
      <c r="B1757" s="66">
        <v>17648.95</v>
      </c>
      <c r="C1757" s="66">
        <v>17541.95</v>
      </c>
      <c r="D1757" s="66">
        <v>17709.150000000001</v>
      </c>
      <c r="E1757" s="66">
        <v>17405.55</v>
      </c>
      <c r="F1757" s="67" t="s">
        <v>982</v>
      </c>
      <c r="G1757" s="68">
        <v>2.5000000000000001E-3</v>
      </c>
      <c r="H1757" s="64"/>
    </row>
    <row r="1758" spans="1:8" x14ac:dyDescent="0.25">
      <c r="A1758" s="65">
        <v>44957</v>
      </c>
      <c r="B1758" s="66">
        <v>17662.150000000001</v>
      </c>
      <c r="C1758" s="66">
        <v>17731.45</v>
      </c>
      <c r="D1758" s="66">
        <v>17735.7</v>
      </c>
      <c r="E1758" s="66">
        <v>17537.55</v>
      </c>
      <c r="F1758" s="67" t="s">
        <v>981</v>
      </c>
      <c r="G1758" s="68">
        <v>6.9999999999999999E-4</v>
      </c>
      <c r="H1758" s="64"/>
    </row>
    <row r="1759" spans="1:8" x14ac:dyDescent="0.25">
      <c r="A1759" s="65">
        <v>44958</v>
      </c>
      <c r="B1759" s="66">
        <v>17616.3</v>
      </c>
      <c r="C1759" s="66">
        <v>17811.599999999999</v>
      </c>
      <c r="D1759" s="66">
        <v>17972.2</v>
      </c>
      <c r="E1759" s="66">
        <v>17353.400000000001</v>
      </c>
      <c r="F1759" s="67" t="s">
        <v>980</v>
      </c>
      <c r="G1759" s="68">
        <v>-2.5999999999999999E-3</v>
      </c>
      <c r="H1759" s="64"/>
    </row>
    <row r="1760" spans="1:8" x14ac:dyDescent="0.25">
      <c r="A1760" s="65">
        <v>44959</v>
      </c>
      <c r="B1760" s="66">
        <v>17610.400000000001</v>
      </c>
      <c r="C1760" s="66">
        <v>17517.099999999999</v>
      </c>
      <c r="D1760" s="66">
        <v>17653.900000000001</v>
      </c>
      <c r="E1760" s="66">
        <v>17445.95</v>
      </c>
      <c r="F1760" s="67" t="s">
        <v>979</v>
      </c>
      <c r="G1760" s="68">
        <v>-2.9999999999999997E-4</v>
      </c>
      <c r="H1760" s="64"/>
    </row>
    <row r="1761" spans="1:8" x14ac:dyDescent="0.25">
      <c r="A1761" s="65">
        <v>44960</v>
      </c>
      <c r="B1761" s="66">
        <v>17854.05</v>
      </c>
      <c r="C1761" s="66">
        <v>17721.75</v>
      </c>
      <c r="D1761" s="66">
        <v>17870.3</v>
      </c>
      <c r="E1761" s="66">
        <v>17584.2</v>
      </c>
      <c r="F1761" s="67" t="s">
        <v>978</v>
      </c>
      <c r="G1761" s="68">
        <v>1.38E-2</v>
      </c>
      <c r="H1761" s="64"/>
    </row>
    <row r="1762" spans="1:8" x14ac:dyDescent="0.25">
      <c r="A1762" s="65">
        <v>44963</v>
      </c>
      <c r="B1762" s="66">
        <v>17764.599999999999</v>
      </c>
      <c r="C1762" s="66">
        <v>17818.55</v>
      </c>
      <c r="D1762" s="66">
        <v>17823.7</v>
      </c>
      <c r="E1762" s="66">
        <v>17698.349999999999</v>
      </c>
      <c r="F1762" s="67" t="s">
        <v>977</v>
      </c>
      <c r="G1762" s="68">
        <v>-5.0000000000000001E-3</v>
      </c>
      <c r="H1762" s="64"/>
    </row>
    <row r="1763" spans="1:8" x14ac:dyDescent="0.25">
      <c r="A1763" s="65">
        <v>44964</v>
      </c>
      <c r="B1763" s="66">
        <v>17721.5</v>
      </c>
      <c r="C1763" s="66">
        <v>17790.099999999999</v>
      </c>
      <c r="D1763" s="66">
        <v>17811.150000000001</v>
      </c>
      <c r="E1763" s="66">
        <v>17652.55</v>
      </c>
      <c r="F1763" s="67" t="s">
        <v>976</v>
      </c>
      <c r="G1763" s="68">
        <v>-2.3999999999999998E-3</v>
      </c>
      <c r="H1763" s="64"/>
    </row>
    <row r="1764" spans="1:8" x14ac:dyDescent="0.25">
      <c r="A1764" s="65">
        <v>44965</v>
      </c>
      <c r="B1764" s="66">
        <v>17871.7</v>
      </c>
      <c r="C1764" s="66">
        <v>17750.3</v>
      </c>
      <c r="D1764" s="66">
        <v>17898.7</v>
      </c>
      <c r="E1764" s="66">
        <v>17744.150000000001</v>
      </c>
      <c r="F1764" s="67" t="s">
        <v>975</v>
      </c>
      <c r="G1764" s="68">
        <v>8.5000000000000006E-3</v>
      </c>
      <c r="H1764" s="64"/>
    </row>
    <row r="1765" spans="1:8" x14ac:dyDescent="0.25">
      <c r="A1765" s="65">
        <v>44966</v>
      </c>
      <c r="B1765" s="66">
        <v>17893.45</v>
      </c>
      <c r="C1765" s="66">
        <v>17885.5</v>
      </c>
      <c r="D1765" s="66">
        <v>17916.900000000001</v>
      </c>
      <c r="E1765" s="66">
        <v>17779.8</v>
      </c>
      <c r="F1765" s="67" t="s">
        <v>974</v>
      </c>
      <c r="G1765" s="68">
        <v>1.1999999999999999E-3</v>
      </c>
      <c r="H1765" s="64"/>
    </row>
    <row r="1766" spans="1:8" x14ac:dyDescent="0.25">
      <c r="A1766" s="65">
        <v>44967</v>
      </c>
      <c r="B1766" s="66">
        <v>17856.5</v>
      </c>
      <c r="C1766" s="66">
        <v>17847.55</v>
      </c>
      <c r="D1766" s="66">
        <v>17876.95</v>
      </c>
      <c r="E1766" s="66">
        <v>17801</v>
      </c>
      <c r="F1766" s="67" t="s">
        <v>973</v>
      </c>
      <c r="G1766" s="68">
        <v>-2.0999999999999999E-3</v>
      </c>
      <c r="H1766" s="64"/>
    </row>
    <row r="1767" spans="1:8" x14ac:dyDescent="0.25">
      <c r="A1767" s="65">
        <v>44970</v>
      </c>
      <c r="B1767" s="66">
        <v>17770.900000000001</v>
      </c>
      <c r="C1767" s="66">
        <v>17859.099999999999</v>
      </c>
      <c r="D1767" s="66">
        <v>17880.7</v>
      </c>
      <c r="E1767" s="66">
        <v>17719.75</v>
      </c>
      <c r="F1767" s="67" t="s">
        <v>972</v>
      </c>
      <c r="G1767" s="68">
        <v>-4.7999999999999996E-3</v>
      </c>
      <c r="H1767" s="64"/>
    </row>
    <row r="1768" spans="1:8" x14ac:dyDescent="0.25">
      <c r="A1768" s="65">
        <v>44971</v>
      </c>
      <c r="B1768" s="66">
        <v>17929.849999999999</v>
      </c>
      <c r="C1768" s="66">
        <v>17840.349999999999</v>
      </c>
      <c r="D1768" s="66">
        <v>17954.55</v>
      </c>
      <c r="E1768" s="66">
        <v>17800.05</v>
      </c>
      <c r="F1768" s="67" t="s">
        <v>971</v>
      </c>
      <c r="G1768" s="68">
        <v>8.8999999999999999E-3</v>
      </c>
      <c r="H1768" s="64"/>
    </row>
    <row r="1769" spans="1:8" x14ac:dyDescent="0.25">
      <c r="A1769" s="65">
        <v>44972</v>
      </c>
      <c r="B1769" s="66">
        <v>18015.849999999999</v>
      </c>
      <c r="C1769" s="66">
        <v>17896.599999999999</v>
      </c>
      <c r="D1769" s="66">
        <v>18034.099999999999</v>
      </c>
      <c r="E1769" s="66">
        <v>17853.8</v>
      </c>
      <c r="F1769" s="67" t="s">
        <v>970</v>
      </c>
      <c r="G1769" s="68">
        <v>4.7999999999999996E-3</v>
      </c>
      <c r="H1769" s="64"/>
    </row>
    <row r="1770" spans="1:8" x14ac:dyDescent="0.25">
      <c r="A1770" s="65">
        <v>44973</v>
      </c>
      <c r="B1770" s="66">
        <v>18035.849999999999</v>
      </c>
      <c r="C1770" s="66">
        <v>18094.75</v>
      </c>
      <c r="D1770" s="66">
        <v>18134.75</v>
      </c>
      <c r="E1770" s="66">
        <v>18000.650000000001</v>
      </c>
      <c r="F1770" s="67" t="s">
        <v>969</v>
      </c>
      <c r="G1770" s="68">
        <v>1.1000000000000001E-3</v>
      </c>
      <c r="H1770" s="64"/>
    </row>
    <row r="1771" spans="1:8" x14ac:dyDescent="0.25">
      <c r="A1771" s="65">
        <v>44974</v>
      </c>
      <c r="B1771" s="66">
        <v>17944.2</v>
      </c>
      <c r="C1771" s="66">
        <v>17974.849999999999</v>
      </c>
      <c r="D1771" s="66">
        <v>18034.25</v>
      </c>
      <c r="E1771" s="66">
        <v>17884.599999999999</v>
      </c>
      <c r="F1771" s="67" t="s">
        <v>968</v>
      </c>
      <c r="G1771" s="68">
        <v>-5.1000000000000004E-3</v>
      </c>
      <c r="H1771" s="64"/>
    </row>
    <row r="1772" spans="1:8" x14ac:dyDescent="0.25">
      <c r="A1772" s="65">
        <v>44977</v>
      </c>
      <c r="B1772" s="66">
        <v>17844.599999999999</v>
      </c>
      <c r="C1772" s="66">
        <v>17965.55</v>
      </c>
      <c r="D1772" s="66">
        <v>18004.349999999999</v>
      </c>
      <c r="E1772" s="66">
        <v>17818.400000000001</v>
      </c>
      <c r="F1772" s="67" t="s">
        <v>967</v>
      </c>
      <c r="G1772" s="68">
        <v>-5.5999999999999999E-3</v>
      </c>
      <c r="H1772" s="64"/>
    </row>
    <row r="1773" spans="1:8" x14ac:dyDescent="0.25">
      <c r="A1773" s="65">
        <v>44978</v>
      </c>
      <c r="B1773" s="66">
        <v>17826.7</v>
      </c>
      <c r="C1773" s="66">
        <v>17905.8</v>
      </c>
      <c r="D1773" s="66">
        <v>17924.900000000001</v>
      </c>
      <c r="E1773" s="66">
        <v>17800.3</v>
      </c>
      <c r="F1773" s="67" t="s">
        <v>966</v>
      </c>
      <c r="G1773" s="68">
        <v>-1E-3</v>
      </c>
      <c r="H1773" s="64"/>
    </row>
    <row r="1774" spans="1:8" x14ac:dyDescent="0.25">
      <c r="A1774" s="65">
        <v>44979</v>
      </c>
      <c r="B1774" s="66">
        <v>17554.3</v>
      </c>
      <c r="C1774" s="66">
        <v>17755.349999999999</v>
      </c>
      <c r="D1774" s="66">
        <v>17772.5</v>
      </c>
      <c r="E1774" s="66">
        <v>17529.45</v>
      </c>
      <c r="F1774" s="67" t="s">
        <v>965</v>
      </c>
      <c r="G1774" s="68">
        <v>-1.5299999999999999E-2</v>
      </c>
      <c r="H1774" s="64"/>
    </row>
    <row r="1775" spans="1:8" x14ac:dyDescent="0.25">
      <c r="A1775" s="65">
        <v>44980</v>
      </c>
      <c r="B1775" s="66">
        <v>17511.25</v>
      </c>
      <c r="C1775" s="66">
        <v>17574.650000000001</v>
      </c>
      <c r="D1775" s="66">
        <v>17620.05</v>
      </c>
      <c r="E1775" s="66">
        <v>17455.400000000001</v>
      </c>
      <c r="F1775" s="67" t="s">
        <v>964</v>
      </c>
      <c r="G1775" s="68">
        <v>-2.5000000000000001E-3</v>
      </c>
      <c r="H1775" s="64"/>
    </row>
    <row r="1776" spans="1:8" x14ac:dyDescent="0.25">
      <c r="A1776" s="65">
        <v>44981</v>
      </c>
      <c r="B1776" s="66">
        <v>17465.8</v>
      </c>
      <c r="C1776" s="66">
        <v>17591.349999999999</v>
      </c>
      <c r="D1776" s="66">
        <v>17599.75</v>
      </c>
      <c r="E1776" s="66">
        <v>17421.8</v>
      </c>
      <c r="F1776" s="67" t="s">
        <v>963</v>
      </c>
      <c r="G1776" s="68">
        <v>-2.5999999999999999E-3</v>
      </c>
      <c r="H1776" s="64"/>
    </row>
    <row r="1777" spans="1:8" x14ac:dyDescent="0.25">
      <c r="A1777" s="65">
        <v>44984</v>
      </c>
      <c r="B1777" s="66">
        <v>17392.7</v>
      </c>
      <c r="C1777" s="66">
        <v>17428.599999999999</v>
      </c>
      <c r="D1777" s="66">
        <v>17451.599999999999</v>
      </c>
      <c r="E1777" s="66">
        <v>17299</v>
      </c>
      <c r="F1777" s="67" t="s">
        <v>962</v>
      </c>
      <c r="G1777" s="68">
        <v>-4.1999999999999997E-3</v>
      </c>
      <c r="H1777" s="64"/>
    </row>
    <row r="1778" spans="1:8" x14ac:dyDescent="0.25">
      <c r="A1778" s="65">
        <v>44985</v>
      </c>
      <c r="B1778" s="66">
        <v>17303.95</v>
      </c>
      <c r="C1778" s="66">
        <v>17383.25</v>
      </c>
      <c r="D1778" s="66">
        <v>17440.45</v>
      </c>
      <c r="E1778" s="66">
        <v>17255.2</v>
      </c>
      <c r="F1778" s="67" t="s">
        <v>961</v>
      </c>
      <c r="G1778" s="68">
        <v>-5.1000000000000004E-3</v>
      </c>
      <c r="H1778" s="64"/>
    </row>
    <row r="1779" spans="1:8" x14ac:dyDescent="0.25">
      <c r="A1779" s="65">
        <v>44986</v>
      </c>
      <c r="B1779" s="66">
        <v>17450.900000000001</v>
      </c>
      <c r="C1779" s="66">
        <v>17360.099999999999</v>
      </c>
      <c r="D1779" s="66">
        <v>17467.75</v>
      </c>
      <c r="E1779" s="66">
        <v>17345.25</v>
      </c>
      <c r="F1779" s="67" t="s">
        <v>960</v>
      </c>
      <c r="G1779" s="68">
        <v>8.5000000000000006E-3</v>
      </c>
      <c r="H1779" s="64"/>
    </row>
    <row r="1780" spans="1:8" x14ac:dyDescent="0.25">
      <c r="A1780" s="65">
        <v>44987</v>
      </c>
      <c r="B1780" s="66">
        <v>17321.900000000001</v>
      </c>
      <c r="C1780" s="66">
        <v>17421.5</v>
      </c>
      <c r="D1780" s="66">
        <v>17445.8</v>
      </c>
      <c r="E1780" s="66">
        <v>17306</v>
      </c>
      <c r="F1780" s="67" t="s">
        <v>959</v>
      </c>
      <c r="G1780" s="68">
        <v>-7.4000000000000003E-3</v>
      </c>
      <c r="H1780" s="64"/>
    </row>
    <row r="1781" spans="1:8" x14ac:dyDescent="0.25">
      <c r="A1781" s="65">
        <v>44988</v>
      </c>
      <c r="B1781" s="66">
        <v>17594.349999999999</v>
      </c>
      <c r="C1781" s="66">
        <v>17451.25</v>
      </c>
      <c r="D1781" s="66">
        <v>17644.75</v>
      </c>
      <c r="E1781" s="66">
        <v>17427.7</v>
      </c>
      <c r="F1781" s="67" t="s">
        <v>958</v>
      </c>
      <c r="G1781" s="68">
        <v>1.5699999999999999E-2</v>
      </c>
      <c r="H1781" s="64"/>
    </row>
    <row r="1782" spans="1:8" x14ac:dyDescent="0.25">
      <c r="A1782" s="65">
        <v>44991</v>
      </c>
      <c r="B1782" s="66">
        <v>17711.45</v>
      </c>
      <c r="C1782" s="66">
        <v>17680.349999999999</v>
      </c>
      <c r="D1782" s="66">
        <v>17799.95</v>
      </c>
      <c r="E1782" s="66">
        <v>17671.95</v>
      </c>
      <c r="F1782" s="67" t="s">
        <v>957</v>
      </c>
      <c r="G1782" s="68">
        <v>6.7000000000000002E-3</v>
      </c>
      <c r="H1782" s="64"/>
    </row>
    <row r="1783" spans="1:8" x14ac:dyDescent="0.25">
      <c r="A1783" s="65">
        <v>44993</v>
      </c>
      <c r="B1783" s="66">
        <v>17754.400000000001</v>
      </c>
      <c r="C1783" s="66">
        <v>17665.75</v>
      </c>
      <c r="D1783" s="66">
        <v>17766.5</v>
      </c>
      <c r="E1783" s="66">
        <v>17602.25</v>
      </c>
      <c r="F1783" s="67" t="s">
        <v>956</v>
      </c>
      <c r="G1783" s="68">
        <v>2.3999999999999998E-3</v>
      </c>
      <c r="H1783" s="64"/>
    </row>
    <row r="1784" spans="1:8" x14ac:dyDescent="0.25">
      <c r="A1784" s="65">
        <v>44994</v>
      </c>
      <c r="B1784" s="66">
        <v>17589.599999999999</v>
      </c>
      <c r="C1784" s="66">
        <v>17772.05</v>
      </c>
      <c r="D1784" s="66">
        <v>17772.349999999999</v>
      </c>
      <c r="E1784" s="66">
        <v>17573.599999999999</v>
      </c>
      <c r="F1784" s="67" t="s">
        <v>955</v>
      </c>
      <c r="G1784" s="68">
        <v>-9.2999999999999992E-3</v>
      </c>
      <c r="H1784" s="64"/>
    </row>
    <row r="1785" spans="1:8" x14ac:dyDescent="0.25">
      <c r="A1785" s="65">
        <v>44995</v>
      </c>
      <c r="B1785" s="66">
        <v>17412.900000000001</v>
      </c>
      <c r="C1785" s="66">
        <v>17443.8</v>
      </c>
      <c r="D1785" s="66">
        <v>17451.5</v>
      </c>
      <c r="E1785" s="66">
        <v>17324.349999999999</v>
      </c>
      <c r="F1785" s="67" t="s">
        <v>954</v>
      </c>
      <c r="G1785" s="68">
        <v>-0.01</v>
      </c>
      <c r="H1785" s="64"/>
    </row>
    <row r="1786" spans="1:8" x14ac:dyDescent="0.25">
      <c r="A1786" s="65">
        <v>44998</v>
      </c>
      <c r="B1786" s="66">
        <v>17154.3</v>
      </c>
      <c r="C1786" s="66">
        <v>17421.900000000001</v>
      </c>
      <c r="D1786" s="66">
        <v>17529.900000000001</v>
      </c>
      <c r="E1786" s="66">
        <v>17113.45</v>
      </c>
      <c r="F1786" s="67" t="s">
        <v>953</v>
      </c>
      <c r="G1786" s="68">
        <v>-1.49E-2</v>
      </c>
      <c r="H1786" s="64"/>
    </row>
    <row r="1787" spans="1:8" x14ac:dyDescent="0.25">
      <c r="A1787" s="65">
        <v>44999</v>
      </c>
      <c r="B1787" s="66">
        <v>17043.3</v>
      </c>
      <c r="C1787" s="66">
        <v>17160.55</v>
      </c>
      <c r="D1787" s="66">
        <v>17224.650000000001</v>
      </c>
      <c r="E1787" s="66">
        <v>16987.099999999999</v>
      </c>
      <c r="F1787" s="67" t="s">
        <v>952</v>
      </c>
      <c r="G1787" s="68">
        <v>-6.4999999999999997E-3</v>
      </c>
      <c r="H1787" s="64"/>
    </row>
    <row r="1788" spans="1:8" x14ac:dyDescent="0.25">
      <c r="A1788" s="65">
        <v>45000</v>
      </c>
      <c r="B1788" s="66">
        <v>16972.150000000001</v>
      </c>
      <c r="C1788" s="66">
        <v>17166.45</v>
      </c>
      <c r="D1788" s="66">
        <v>17211.349999999999</v>
      </c>
      <c r="E1788" s="66">
        <v>16938.900000000001</v>
      </c>
      <c r="F1788" s="67" t="s">
        <v>951</v>
      </c>
      <c r="G1788" s="68">
        <v>-4.1999999999999997E-3</v>
      </c>
      <c r="H1788" s="64"/>
    </row>
    <row r="1789" spans="1:8" x14ac:dyDescent="0.25">
      <c r="A1789" s="65">
        <v>45001</v>
      </c>
      <c r="B1789" s="66">
        <v>16985.599999999999</v>
      </c>
      <c r="C1789" s="66">
        <v>16994.650000000001</v>
      </c>
      <c r="D1789" s="66">
        <v>17062.45</v>
      </c>
      <c r="E1789" s="66">
        <v>16850.150000000001</v>
      </c>
      <c r="F1789" s="67" t="s">
        <v>950</v>
      </c>
      <c r="G1789" s="68">
        <v>8.0000000000000004E-4</v>
      </c>
      <c r="H1789" s="64"/>
    </row>
    <row r="1790" spans="1:8" x14ac:dyDescent="0.25">
      <c r="A1790" s="65">
        <v>45002</v>
      </c>
      <c r="B1790" s="66">
        <v>17100.05</v>
      </c>
      <c r="C1790" s="66">
        <v>17111.8</v>
      </c>
      <c r="D1790" s="66">
        <v>17145.8</v>
      </c>
      <c r="E1790" s="66">
        <v>16958.150000000001</v>
      </c>
      <c r="F1790" s="67" t="s">
        <v>949</v>
      </c>
      <c r="G1790" s="68">
        <v>6.7000000000000002E-3</v>
      </c>
      <c r="H1790" s="64"/>
    </row>
    <row r="1791" spans="1:8" x14ac:dyDescent="0.25">
      <c r="A1791" s="65">
        <v>45005</v>
      </c>
      <c r="B1791" s="66">
        <v>16988.400000000001</v>
      </c>
      <c r="C1791" s="66">
        <v>17066.599999999999</v>
      </c>
      <c r="D1791" s="66">
        <v>17066.599999999999</v>
      </c>
      <c r="E1791" s="66">
        <v>16828.349999999999</v>
      </c>
      <c r="F1791" s="67" t="s">
        <v>948</v>
      </c>
      <c r="G1791" s="68">
        <v>-6.4999999999999997E-3</v>
      </c>
      <c r="H1791" s="64"/>
    </row>
    <row r="1792" spans="1:8" x14ac:dyDescent="0.25">
      <c r="A1792" s="65">
        <v>45006</v>
      </c>
      <c r="B1792" s="66">
        <v>17107.5</v>
      </c>
      <c r="C1792" s="66">
        <v>17060.400000000001</v>
      </c>
      <c r="D1792" s="66">
        <v>17127.7</v>
      </c>
      <c r="E1792" s="66">
        <v>17016</v>
      </c>
      <c r="F1792" s="67" t="s">
        <v>947</v>
      </c>
      <c r="G1792" s="68">
        <v>7.0000000000000001E-3</v>
      </c>
      <c r="H1792" s="64"/>
    </row>
    <row r="1793" spans="1:8" x14ac:dyDescent="0.25">
      <c r="A1793" s="65">
        <v>45007</v>
      </c>
      <c r="B1793" s="66">
        <v>17151.900000000001</v>
      </c>
      <c r="C1793" s="66">
        <v>17177.45</v>
      </c>
      <c r="D1793" s="66">
        <v>17207.25</v>
      </c>
      <c r="E1793" s="66">
        <v>17107.849999999999</v>
      </c>
      <c r="F1793" s="67"/>
      <c r="G1793" s="68">
        <v>2.5999999999999999E-3</v>
      </c>
      <c r="H1793" s="64"/>
    </row>
    <row r="1794" spans="1:8" x14ac:dyDescent="0.25">
      <c r="A1794" s="65">
        <v>45008</v>
      </c>
      <c r="B1794" s="66">
        <v>17076.900000000001</v>
      </c>
      <c r="C1794" s="66">
        <v>17097.400000000001</v>
      </c>
      <c r="D1794" s="66">
        <v>17205.400000000001</v>
      </c>
      <c r="E1794" s="66">
        <v>17045.3</v>
      </c>
      <c r="F1794" s="67" t="s">
        <v>946</v>
      </c>
      <c r="G1794" s="68">
        <v>-4.4000000000000003E-3</v>
      </c>
      <c r="H1794" s="64"/>
    </row>
    <row r="1795" spans="1:8" x14ac:dyDescent="0.25">
      <c r="A1795" s="65">
        <v>45009</v>
      </c>
      <c r="B1795" s="66">
        <v>16945.05</v>
      </c>
      <c r="C1795" s="66">
        <v>17076.2</v>
      </c>
      <c r="D1795" s="66">
        <v>17109.45</v>
      </c>
      <c r="E1795" s="66">
        <v>16917.349999999999</v>
      </c>
      <c r="F1795" s="67" t="s">
        <v>508</v>
      </c>
      <c r="G1795" s="68">
        <v>-7.7000000000000002E-3</v>
      </c>
      <c r="H1795" s="64"/>
    </row>
    <row r="1796" spans="1:8" x14ac:dyDescent="0.25">
      <c r="A1796" s="65">
        <v>45012</v>
      </c>
      <c r="B1796" s="66">
        <v>16985.7</v>
      </c>
      <c r="C1796" s="66">
        <v>16984.3</v>
      </c>
      <c r="D1796" s="66">
        <v>17091</v>
      </c>
      <c r="E1796" s="66">
        <v>16918.55</v>
      </c>
      <c r="F1796" s="67" t="s">
        <v>945</v>
      </c>
      <c r="G1796" s="68">
        <v>2.3999999999999998E-3</v>
      </c>
      <c r="H1796" s="64"/>
    </row>
    <row r="1797" spans="1:8" x14ac:dyDescent="0.25">
      <c r="A1797" s="65">
        <v>45013</v>
      </c>
      <c r="B1797" s="66">
        <v>16951.7</v>
      </c>
      <c r="C1797" s="66">
        <v>17031.75</v>
      </c>
      <c r="D1797" s="66">
        <v>17061.75</v>
      </c>
      <c r="E1797" s="66">
        <v>16913.75</v>
      </c>
      <c r="F1797" s="67" t="s">
        <v>944</v>
      </c>
      <c r="G1797" s="68">
        <v>-2E-3</v>
      </c>
      <c r="H1797" s="64"/>
    </row>
    <row r="1798" spans="1:8" x14ac:dyDescent="0.25">
      <c r="A1798" s="65">
        <v>45014</v>
      </c>
      <c r="B1798" s="66">
        <v>17080.7</v>
      </c>
      <c r="C1798" s="66">
        <v>16977.3</v>
      </c>
      <c r="D1798" s="66">
        <v>17126.150000000001</v>
      </c>
      <c r="E1798" s="66">
        <v>16940.599999999999</v>
      </c>
      <c r="F1798" s="67" t="s">
        <v>943</v>
      </c>
      <c r="G1798" s="68">
        <v>7.6E-3</v>
      </c>
      <c r="H1798" s="64"/>
    </row>
    <row r="1799" spans="1:8" x14ac:dyDescent="0.25">
      <c r="A1799" s="65">
        <v>45016</v>
      </c>
      <c r="B1799" s="66">
        <v>17359.75</v>
      </c>
      <c r="C1799" s="66">
        <v>17210.349999999999</v>
      </c>
      <c r="D1799" s="66">
        <v>17381.599999999999</v>
      </c>
      <c r="E1799" s="66">
        <v>17204.650000000001</v>
      </c>
      <c r="F1799" s="67" t="s">
        <v>942</v>
      </c>
      <c r="G1799" s="68">
        <v>1.6299999999999999E-2</v>
      </c>
      <c r="H1799" s="64"/>
    </row>
    <row r="1800" spans="1:8" x14ac:dyDescent="0.25">
      <c r="A1800" s="65">
        <v>45019</v>
      </c>
      <c r="B1800" s="66">
        <v>17398.05</v>
      </c>
      <c r="C1800" s="66">
        <v>17427.95</v>
      </c>
      <c r="D1800" s="66">
        <v>17428.05</v>
      </c>
      <c r="E1800" s="66">
        <v>17312.75</v>
      </c>
      <c r="F1800" s="67" t="s">
        <v>941</v>
      </c>
      <c r="G1800" s="68">
        <v>2.2000000000000001E-3</v>
      </c>
      <c r="H1800" s="64"/>
    </row>
    <row r="1801" spans="1:8" x14ac:dyDescent="0.25">
      <c r="A1801" s="65">
        <v>45021</v>
      </c>
      <c r="B1801" s="66">
        <v>17557.05</v>
      </c>
      <c r="C1801" s="66">
        <v>17422.3</v>
      </c>
      <c r="D1801" s="66">
        <v>17570.55</v>
      </c>
      <c r="E1801" s="66">
        <v>17402.7</v>
      </c>
      <c r="F1801" s="67" t="s">
        <v>940</v>
      </c>
      <c r="G1801" s="68">
        <v>9.1000000000000004E-3</v>
      </c>
      <c r="H1801" s="64"/>
    </row>
    <row r="1802" spans="1:8" x14ac:dyDescent="0.25">
      <c r="A1802" s="65">
        <v>45022</v>
      </c>
      <c r="B1802" s="66">
        <v>17599.150000000001</v>
      </c>
      <c r="C1802" s="66">
        <v>17533.849999999999</v>
      </c>
      <c r="D1802" s="66">
        <v>17638.7</v>
      </c>
      <c r="E1802" s="66">
        <v>17502.849999999999</v>
      </c>
      <c r="F1802" s="67" t="s">
        <v>939</v>
      </c>
      <c r="G1802" s="68">
        <v>2.3999999999999998E-3</v>
      </c>
      <c r="H1802" s="64"/>
    </row>
    <row r="1803" spans="1:8" x14ac:dyDescent="0.25">
      <c r="A1803" s="65">
        <v>45026</v>
      </c>
      <c r="B1803" s="66">
        <v>17624.05</v>
      </c>
      <c r="C1803" s="66">
        <v>17634.900000000001</v>
      </c>
      <c r="D1803" s="66">
        <v>17694.099999999999</v>
      </c>
      <c r="E1803" s="66">
        <v>17597.95</v>
      </c>
      <c r="F1803" s="67" t="s">
        <v>124</v>
      </c>
      <c r="G1803" s="68">
        <v>1.4E-3</v>
      </c>
      <c r="H1803" s="64"/>
    </row>
    <row r="1804" spans="1:8" x14ac:dyDescent="0.25">
      <c r="A1804" s="65">
        <v>45027</v>
      </c>
      <c r="B1804" s="66">
        <v>17722.3</v>
      </c>
      <c r="C1804" s="66">
        <v>17704.8</v>
      </c>
      <c r="D1804" s="66">
        <v>17748.75</v>
      </c>
      <c r="E1804" s="66">
        <v>17655.150000000001</v>
      </c>
      <c r="F1804" s="67" t="s">
        <v>938</v>
      </c>
      <c r="G1804" s="68">
        <v>5.5999999999999999E-3</v>
      </c>
      <c r="H1804" s="64"/>
    </row>
    <row r="1805" spans="1:8" x14ac:dyDescent="0.25">
      <c r="A1805" s="65">
        <v>45028</v>
      </c>
      <c r="B1805" s="66">
        <v>17812.400000000001</v>
      </c>
      <c r="C1805" s="66">
        <v>17759.55</v>
      </c>
      <c r="D1805" s="66">
        <v>17825.75</v>
      </c>
      <c r="E1805" s="66">
        <v>17717.25</v>
      </c>
      <c r="F1805" s="67" t="s">
        <v>937</v>
      </c>
      <c r="G1805" s="68">
        <v>5.1000000000000004E-3</v>
      </c>
      <c r="H1805" s="64"/>
    </row>
    <row r="1806" spans="1:8" x14ac:dyDescent="0.25">
      <c r="A1806" s="65">
        <v>45029</v>
      </c>
      <c r="B1806" s="66">
        <v>17828</v>
      </c>
      <c r="C1806" s="66">
        <v>17807.3</v>
      </c>
      <c r="D1806" s="66">
        <v>17842.150000000001</v>
      </c>
      <c r="E1806" s="66">
        <v>17729.650000000001</v>
      </c>
      <c r="F1806" s="67" t="s">
        <v>936</v>
      </c>
      <c r="G1806" s="68">
        <v>8.9999999999999998E-4</v>
      </c>
      <c r="H1806" s="64"/>
    </row>
    <row r="1807" spans="1:8" x14ac:dyDescent="0.25">
      <c r="A1807" s="65">
        <v>45033</v>
      </c>
      <c r="B1807" s="66">
        <v>17706.849999999999</v>
      </c>
      <c r="C1807" s="66">
        <v>17863</v>
      </c>
      <c r="D1807" s="66">
        <v>17863</v>
      </c>
      <c r="E1807" s="66">
        <v>17574.05</v>
      </c>
      <c r="F1807" s="67" t="s">
        <v>935</v>
      </c>
      <c r="G1807" s="68">
        <v>-6.7999999999999996E-3</v>
      </c>
      <c r="H1807" s="64"/>
    </row>
    <row r="1808" spans="1:8" x14ac:dyDescent="0.25">
      <c r="A1808" s="65">
        <v>45034</v>
      </c>
      <c r="B1808" s="66">
        <v>17660.150000000001</v>
      </c>
      <c r="C1808" s="66">
        <v>17766.599999999999</v>
      </c>
      <c r="D1808" s="66">
        <v>17766.599999999999</v>
      </c>
      <c r="E1808" s="66">
        <v>17610.2</v>
      </c>
      <c r="F1808" s="67" t="s">
        <v>934</v>
      </c>
      <c r="G1808" s="68">
        <v>-2.5999999999999999E-3</v>
      </c>
      <c r="H1808" s="64"/>
    </row>
    <row r="1809" spans="1:8" x14ac:dyDescent="0.25">
      <c r="A1809" s="65">
        <v>45035</v>
      </c>
      <c r="B1809" s="66">
        <v>17618.75</v>
      </c>
      <c r="C1809" s="66">
        <v>17653.349999999999</v>
      </c>
      <c r="D1809" s="66">
        <v>17666.150000000001</v>
      </c>
      <c r="E1809" s="66">
        <v>17579.849999999999</v>
      </c>
      <c r="F1809" s="67" t="s">
        <v>933</v>
      </c>
      <c r="G1809" s="68">
        <v>-2.3E-3</v>
      </c>
      <c r="H1809" s="64"/>
    </row>
    <row r="1810" spans="1:8" x14ac:dyDescent="0.25">
      <c r="A1810" s="65">
        <v>45036</v>
      </c>
      <c r="B1810" s="66">
        <v>17624.45</v>
      </c>
      <c r="C1810" s="66">
        <v>17638.599999999999</v>
      </c>
      <c r="D1810" s="66">
        <v>17684.45</v>
      </c>
      <c r="E1810" s="66">
        <v>17584.349999999999</v>
      </c>
      <c r="F1810" s="67" t="s">
        <v>932</v>
      </c>
      <c r="G1810" s="68">
        <v>2.9999999999999997E-4</v>
      </c>
      <c r="H1810" s="64"/>
    </row>
    <row r="1811" spans="1:8" x14ac:dyDescent="0.25">
      <c r="A1811" s="65">
        <v>45037</v>
      </c>
      <c r="B1811" s="66">
        <v>17624.05</v>
      </c>
      <c r="C1811" s="66">
        <v>17639.75</v>
      </c>
      <c r="D1811" s="66">
        <v>17663.2</v>
      </c>
      <c r="E1811" s="66">
        <v>17553.95</v>
      </c>
      <c r="F1811" s="67" t="s">
        <v>931</v>
      </c>
      <c r="G1811" s="68">
        <v>0</v>
      </c>
      <c r="H1811" s="64"/>
    </row>
    <row r="1812" spans="1:8" x14ac:dyDescent="0.25">
      <c r="A1812" s="65">
        <v>45040</v>
      </c>
      <c r="B1812" s="66">
        <v>17743.400000000001</v>
      </c>
      <c r="C1812" s="66">
        <v>17707.55</v>
      </c>
      <c r="D1812" s="66">
        <v>17754.5</v>
      </c>
      <c r="E1812" s="66">
        <v>17612.5</v>
      </c>
      <c r="F1812" s="67" t="s">
        <v>930</v>
      </c>
      <c r="G1812" s="68">
        <v>6.7999999999999996E-3</v>
      </c>
      <c r="H1812" s="64"/>
    </row>
    <row r="1813" spans="1:8" x14ac:dyDescent="0.25">
      <c r="A1813" s="65">
        <v>45041</v>
      </c>
      <c r="B1813" s="66">
        <v>17769.25</v>
      </c>
      <c r="C1813" s="66">
        <v>17761.55</v>
      </c>
      <c r="D1813" s="66">
        <v>17807.45</v>
      </c>
      <c r="E1813" s="66">
        <v>17716.849999999999</v>
      </c>
      <c r="F1813" s="67" t="s">
        <v>929</v>
      </c>
      <c r="G1813" s="68">
        <v>1.5E-3</v>
      </c>
      <c r="H1813" s="64"/>
    </row>
    <row r="1814" spans="1:8" x14ac:dyDescent="0.25">
      <c r="A1814" s="65">
        <v>45042</v>
      </c>
      <c r="B1814" s="66">
        <v>17813.599999999999</v>
      </c>
      <c r="C1814" s="66">
        <v>17767.3</v>
      </c>
      <c r="D1814" s="66">
        <v>17827.75</v>
      </c>
      <c r="E1814" s="66">
        <v>17711.2</v>
      </c>
      <c r="F1814" s="67" t="s">
        <v>928</v>
      </c>
      <c r="G1814" s="68">
        <v>2.5000000000000001E-3</v>
      </c>
      <c r="H1814" s="64"/>
    </row>
    <row r="1815" spans="1:8" x14ac:dyDescent="0.25">
      <c r="A1815" s="65">
        <v>45043</v>
      </c>
      <c r="B1815" s="66">
        <v>17915.05</v>
      </c>
      <c r="C1815" s="66">
        <v>17813.099999999999</v>
      </c>
      <c r="D1815" s="66">
        <v>17931.599999999999</v>
      </c>
      <c r="E1815" s="66">
        <v>17797.900000000001</v>
      </c>
      <c r="F1815" s="67" t="s">
        <v>927</v>
      </c>
      <c r="G1815" s="68">
        <v>5.7000000000000002E-3</v>
      </c>
      <c r="H1815" s="64"/>
    </row>
    <row r="1816" spans="1:8" x14ac:dyDescent="0.25">
      <c r="A1816" s="65">
        <v>45044</v>
      </c>
      <c r="B1816" s="66">
        <v>18065</v>
      </c>
      <c r="C1816" s="66">
        <v>17950.400000000001</v>
      </c>
      <c r="D1816" s="66">
        <v>18089.150000000001</v>
      </c>
      <c r="E1816" s="66">
        <v>17885.3</v>
      </c>
      <c r="F1816" s="67" t="s">
        <v>926</v>
      </c>
      <c r="G1816" s="68">
        <v>8.3999999999999995E-3</v>
      </c>
      <c r="H1816" s="64"/>
    </row>
    <row r="1817" spans="1:8" x14ac:dyDescent="0.25">
      <c r="A1817" s="65">
        <v>45048</v>
      </c>
      <c r="B1817" s="66">
        <v>18147.650000000001</v>
      </c>
      <c r="C1817" s="66">
        <v>18124.8</v>
      </c>
      <c r="D1817" s="66">
        <v>18180.25</v>
      </c>
      <c r="E1817" s="66">
        <v>18101.75</v>
      </c>
      <c r="F1817" s="67" t="s">
        <v>925</v>
      </c>
      <c r="G1817" s="68">
        <v>4.5999999999999999E-3</v>
      </c>
      <c r="H1817" s="64"/>
    </row>
    <row r="1818" spans="1:8" x14ac:dyDescent="0.25">
      <c r="A1818" s="65">
        <v>45049</v>
      </c>
      <c r="B1818" s="66">
        <v>18089.849999999999</v>
      </c>
      <c r="C1818" s="66">
        <v>18113.8</v>
      </c>
      <c r="D1818" s="66">
        <v>18116.349999999999</v>
      </c>
      <c r="E1818" s="66">
        <v>18042.400000000001</v>
      </c>
      <c r="F1818" s="67" t="s">
        <v>924</v>
      </c>
      <c r="G1818" s="68">
        <v>-3.2000000000000002E-3</v>
      </c>
      <c r="H1818" s="64"/>
    </row>
    <row r="1819" spans="1:8" x14ac:dyDescent="0.25">
      <c r="A1819" s="65">
        <v>45050</v>
      </c>
      <c r="B1819" s="66">
        <v>18255.8</v>
      </c>
      <c r="C1819" s="66">
        <v>18081</v>
      </c>
      <c r="D1819" s="66">
        <v>18267.45</v>
      </c>
      <c r="E1819" s="66">
        <v>18066.7</v>
      </c>
      <c r="F1819" s="67" t="s">
        <v>923</v>
      </c>
      <c r="G1819" s="68">
        <v>9.1999999999999998E-3</v>
      </c>
      <c r="H1819" s="64"/>
    </row>
    <row r="1820" spans="1:8" x14ac:dyDescent="0.25">
      <c r="A1820" s="65">
        <v>45051</v>
      </c>
      <c r="B1820" s="66">
        <v>18069</v>
      </c>
      <c r="C1820" s="66">
        <v>18117.3</v>
      </c>
      <c r="D1820" s="66">
        <v>18216.95</v>
      </c>
      <c r="E1820" s="66">
        <v>18055.45</v>
      </c>
      <c r="F1820" s="67" t="s">
        <v>922</v>
      </c>
      <c r="G1820" s="68">
        <v>-1.0200000000000001E-2</v>
      </c>
      <c r="H1820" s="64"/>
    </row>
    <row r="1821" spans="1:8" x14ac:dyDescent="0.25">
      <c r="A1821" s="65">
        <v>45054</v>
      </c>
      <c r="B1821" s="66">
        <v>18264.400000000001</v>
      </c>
      <c r="C1821" s="66">
        <v>18120.599999999999</v>
      </c>
      <c r="D1821" s="66">
        <v>18286.95</v>
      </c>
      <c r="E1821" s="66">
        <v>18100.3</v>
      </c>
      <c r="F1821" s="67" t="s">
        <v>921</v>
      </c>
      <c r="G1821" s="68">
        <v>1.0800000000000001E-2</v>
      </c>
      <c r="H1821" s="64"/>
    </row>
    <row r="1822" spans="1:8" x14ac:dyDescent="0.25">
      <c r="A1822" s="65">
        <v>45055</v>
      </c>
      <c r="B1822" s="66">
        <v>18265.95</v>
      </c>
      <c r="C1822" s="66">
        <v>18303.400000000001</v>
      </c>
      <c r="D1822" s="66">
        <v>18344.2</v>
      </c>
      <c r="E1822" s="66">
        <v>18229.650000000001</v>
      </c>
      <c r="F1822" s="67" t="s">
        <v>920</v>
      </c>
      <c r="G1822" s="68">
        <v>1E-4</v>
      </c>
      <c r="H1822" s="64"/>
    </row>
    <row r="1823" spans="1:8" x14ac:dyDescent="0.25">
      <c r="A1823" s="65">
        <v>45056</v>
      </c>
      <c r="B1823" s="66">
        <v>18315.099999999999</v>
      </c>
      <c r="C1823" s="66">
        <v>18313.599999999999</v>
      </c>
      <c r="D1823" s="66">
        <v>18326.75</v>
      </c>
      <c r="E1823" s="66">
        <v>18211.95</v>
      </c>
      <c r="F1823" s="67" t="s">
        <v>919</v>
      </c>
      <c r="G1823" s="68">
        <v>2.7000000000000001E-3</v>
      </c>
      <c r="H1823" s="64"/>
    </row>
    <row r="1824" spans="1:8" x14ac:dyDescent="0.25">
      <c r="A1824" s="65">
        <v>45057</v>
      </c>
      <c r="B1824" s="66">
        <v>18297</v>
      </c>
      <c r="C1824" s="66">
        <v>18357.8</v>
      </c>
      <c r="D1824" s="66">
        <v>18389.7</v>
      </c>
      <c r="E1824" s="66">
        <v>18270.400000000001</v>
      </c>
      <c r="F1824" s="67" t="s">
        <v>918</v>
      </c>
      <c r="G1824" s="68">
        <v>-1E-3</v>
      </c>
      <c r="H1824" s="64"/>
    </row>
    <row r="1825" spans="1:8" x14ac:dyDescent="0.25">
      <c r="A1825" s="65">
        <v>45058</v>
      </c>
      <c r="B1825" s="66">
        <v>18314.8</v>
      </c>
      <c r="C1825" s="66">
        <v>18273.75</v>
      </c>
      <c r="D1825" s="66">
        <v>18342.75</v>
      </c>
      <c r="E1825" s="66">
        <v>18194.55</v>
      </c>
      <c r="F1825" s="67" t="s">
        <v>917</v>
      </c>
      <c r="G1825" s="68">
        <v>1E-3</v>
      </c>
      <c r="H1825" s="64"/>
    </row>
    <row r="1826" spans="1:8" x14ac:dyDescent="0.25">
      <c r="A1826" s="65">
        <v>45061</v>
      </c>
      <c r="B1826" s="66">
        <v>18398.849999999999</v>
      </c>
      <c r="C1826" s="66">
        <v>18339.3</v>
      </c>
      <c r="D1826" s="66">
        <v>18458.900000000001</v>
      </c>
      <c r="E1826" s="66">
        <v>18287.900000000001</v>
      </c>
      <c r="F1826" s="67" t="s">
        <v>916</v>
      </c>
      <c r="G1826" s="68">
        <v>4.5999999999999999E-3</v>
      </c>
      <c r="H1826" s="64"/>
    </row>
    <row r="1827" spans="1:8" x14ac:dyDescent="0.25">
      <c r="A1827" s="65">
        <v>45062</v>
      </c>
      <c r="B1827" s="66">
        <v>18286.5</v>
      </c>
      <c r="C1827" s="66">
        <v>18432.349999999999</v>
      </c>
      <c r="D1827" s="66">
        <v>18432.349999999999</v>
      </c>
      <c r="E1827" s="66">
        <v>18264.349999999999</v>
      </c>
      <c r="F1827" s="67" t="s">
        <v>915</v>
      </c>
      <c r="G1827" s="68">
        <v>-6.1000000000000004E-3</v>
      </c>
      <c r="H1827" s="64"/>
    </row>
    <row r="1828" spans="1:8" x14ac:dyDescent="0.25">
      <c r="A1828" s="65">
        <v>45063</v>
      </c>
      <c r="B1828" s="66">
        <v>18181.75</v>
      </c>
      <c r="C1828" s="66">
        <v>18300.45</v>
      </c>
      <c r="D1828" s="66">
        <v>18309</v>
      </c>
      <c r="E1828" s="66">
        <v>18115.349999999999</v>
      </c>
      <c r="F1828" s="67" t="s">
        <v>914</v>
      </c>
      <c r="G1828" s="68">
        <v>-5.7000000000000002E-3</v>
      </c>
      <c r="H1828" s="64"/>
    </row>
    <row r="1829" spans="1:8" x14ac:dyDescent="0.25">
      <c r="A1829" s="65">
        <v>45064</v>
      </c>
      <c r="B1829" s="66">
        <v>18129.95</v>
      </c>
      <c r="C1829" s="66">
        <v>18287.5</v>
      </c>
      <c r="D1829" s="66">
        <v>18297.2</v>
      </c>
      <c r="E1829" s="66">
        <v>18104.849999999999</v>
      </c>
      <c r="F1829" s="67" t="s">
        <v>913</v>
      </c>
      <c r="G1829" s="68">
        <v>-2.8E-3</v>
      </c>
      <c r="H1829" s="64"/>
    </row>
    <row r="1830" spans="1:8" x14ac:dyDescent="0.25">
      <c r="A1830" s="65">
        <v>45065</v>
      </c>
      <c r="B1830" s="66">
        <v>18203.400000000001</v>
      </c>
      <c r="C1830" s="66">
        <v>18186.150000000001</v>
      </c>
      <c r="D1830" s="66">
        <v>18218.099999999999</v>
      </c>
      <c r="E1830" s="66">
        <v>18060.400000000001</v>
      </c>
      <c r="F1830" s="67" t="s">
        <v>912</v>
      </c>
      <c r="G1830" s="68">
        <v>4.1000000000000003E-3</v>
      </c>
      <c r="H1830" s="64"/>
    </row>
    <row r="1831" spans="1:8" x14ac:dyDescent="0.25">
      <c r="A1831" s="65">
        <v>45068</v>
      </c>
      <c r="B1831" s="66">
        <v>18314.400000000001</v>
      </c>
      <c r="C1831" s="66">
        <v>18201.099999999999</v>
      </c>
      <c r="D1831" s="66">
        <v>18335.25</v>
      </c>
      <c r="E1831" s="66">
        <v>18178.849999999999</v>
      </c>
      <c r="F1831" s="67" t="s">
        <v>911</v>
      </c>
      <c r="G1831" s="68">
        <v>6.1000000000000004E-3</v>
      </c>
      <c r="H1831" s="64"/>
    </row>
    <row r="1832" spans="1:8" x14ac:dyDescent="0.25">
      <c r="A1832" s="65">
        <v>45069</v>
      </c>
      <c r="B1832" s="66">
        <v>18348</v>
      </c>
      <c r="C1832" s="66">
        <v>18362.900000000001</v>
      </c>
      <c r="D1832" s="66">
        <v>18419.75</v>
      </c>
      <c r="E1832" s="66">
        <v>18324.2</v>
      </c>
      <c r="F1832" s="67" t="s">
        <v>910</v>
      </c>
      <c r="G1832" s="68">
        <v>1.8E-3</v>
      </c>
      <c r="H1832" s="64"/>
    </row>
    <row r="1833" spans="1:8" x14ac:dyDescent="0.25">
      <c r="A1833" s="65">
        <v>45070</v>
      </c>
      <c r="B1833" s="66">
        <v>18285.400000000001</v>
      </c>
      <c r="C1833" s="66">
        <v>18294.8</v>
      </c>
      <c r="D1833" s="66">
        <v>18392.599999999999</v>
      </c>
      <c r="E1833" s="66">
        <v>18262.95</v>
      </c>
      <c r="F1833" s="67" t="s">
        <v>909</v>
      </c>
      <c r="G1833" s="68">
        <v>-3.3999999999999998E-3</v>
      </c>
      <c r="H1833" s="64"/>
    </row>
    <row r="1834" spans="1:8" x14ac:dyDescent="0.25">
      <c r="A1834" s="65">
        <v>45071</v>
      </c>
      <c r="B1834" s="66">
        <v>18321.150000000001</v>
      </c>
      <c r="C1834" s="66">
        <v>18268.900000000001</v>
      </c>
      <c r="D1834" s="66">
        <v>18338.099999999999</v>
      </c>
      <c r="E1834" s="66">
        <v>18202.400000000001</v>
      </c>
      <c r="F1834" s="67" t="s">
        <v>908</v>
      </c>
      <c r="G1834" s="68">
        <v>2E-3</v>
      </c>
      <c r="H1834" s="64"/>
    </row>
    <row r="1835" spans="1:8" x14ac:dyDescent="0.25">
      <c r="A1835" s="65">
        <v>45072</v>
      </c>
      <c r="B1835" s="66">
        <v>18499.349999999999</v>
      </c>
      <c r="C1835" s="66">
        <v>18368.349999999999</v>
      </c>
      <c r="D1835" s="66">
        <v>18508.55</v>
      </c>
      <c r="E1835" s="66">
        <v>18333.150000000001</v>
      </c>
      <c r="F1835" s="67" t="s">
        <v>907</v>
      </c>
      <c r="G1835" s="68">
        <v>9.7000000000000003E-3</v>
      </c>
      <c r="H1835" s="64"/>
    </row>
    <row r="1836" spans="1:8" x14ac:dyDescent="0.25">
      <c r="A1836" s="65">
        <v>45075</v>
      </c>
      <c r="B1836" s="66">
        <v>18598.650000000001</v>
      </c>
      <c r="C1836" s="66">
        <v>18619.150000000001</v>
      </c>
      <c r="D1836" s="66">
        <v>18641.2</v>
      </c>
      <c r="E1836" s="66">
        <v>18581.25</v>
      </c>
      <c r="F1836" s="67" t="s">
        <v>906</v>
      </c>
      <c r="G1836" s="68">
        <v>5.4000000000000003E-3</v>
      </c>
      <c r="H1836" s="64"/>
    </row>
    <row r="1837" spans="1:8" x14ac:dyDescent="0.25">
      <c r="A1837" s="65">
        <v>45076</v>
      </c>
      <c r="B1837" s="66">
        <v>18633.849999999999</v>
      </c>
      <c r="C1837" s="66">
        <v>18606.650000000001</v>
      </c>
      <c r="D1837" s="66">
        <v>18662.45</v>
      </c>
      <c r="E1837" s="66">
        <v>18575.5</v>
      </c>
      <c r="F1837" s="67" t="s">
        <v>905</v>
      </c>
      <c r="G1837" s="68">
        <v>1.9E-3</v>
      </c>
      <c r="H1837" s="64"/>
    </row>
    <row r="1838" spans="1:8" x14ac:dyDescent="0.25">
      <c r="A1838" s="65">
        <v>45077</v>
      </c>
      <c r="B1838" s="66">
        <v>18534.400000000001</v>
      </c>
      <c r="C1838" s="66">
        <v>18594.2</v>
      </c>
      <c r="D1838" s="66">
        <v>18603.900000000001</v>
      </c>
      <c r="E1838" s="66">
        <v>18483.849999999999</v>
      </c>
      <c r="F1838" s="67" t="s">
        <v>904</v>
      </c>
      <c r="G1838" s="68">
        <v>-5.3E-3</v>
      </c>
      <c r="H1838" s="64"/>
    </row>
    <row r="1839" spans="1:8" x14ac:dyDescent="0.25">
      <c r="A1839" s="65">
        <v>45078</v>
      </c>
      <c r="B1839" s="66">
        <v>18487.75</v>
      </c>
      <c r="C1839" s="66">
        <v>18579.400000000001</v>
      </c>
      <c r="D1839" s="66">
        <v>18580.3</v>
      </c>
      <c r="E1839" s="66">
        <v>18464.55</v>
      </c>
      <c r="F1839" s="67" t="s">
        <v>903</v>
      </c>
      <c r="G1839" s="68">
        <v>-2.5000000000000001E-3</v>
      </c>
      <c r="H1839" s="64"/>
    </row>
    <row r="1840" spans="1:8" x14ac:dyDescent="0.25">
      <c r="A1840" s="65">
        <v>45079</v>
      </c>
      <c r="B1840" s="66">
        <v>18534.099999999999</v>
      </c>
      <c r="C1840" s="66">
        <v>18550.849999999999</v>
      </c>
      <c r="D1840" s="66">
        <v>18573.7</v>
      </c>
      <c r="E1840" s="66">
        <v>18478.400000000001</v>
      </c>
      <c r="F1840" s="67" t="s">
        <v>763</v>
      </c>
      <c r="G1840" s="68">
        <v>2.5000000000000001E-3</v>
      </c>
      <c r="H1840" s="64"/>
    </row>
    <row r="1841" spans="1:8" x14ac:dyDescent="0.25">
      <c r="A1841" s="65">
        <v>45082</v>
      </c>
      <c r="B1841" s="66">
        <v>18593.849999999999</v>
      </c>
      <c r="C1841" s="66">
        <v>18612</v>
      </c>
      <c r="D1841" s="66">
        <v>18640.150000000001</v>
      </c>
      <c r="E1841" s="66">
        <v>18582.8</v>
      </c>
      <c r="F1841" s="67" t="s">
        <v>902</v>
      </c>
      <c r="G1841" s="68">
        <v>3.2000000000000002E-3</v>
      </c>
      <c r="H1841" s="64"/>
    </row>
    <row r="1842" spans="1:8" x14ac:dyDescent="0.25">
      <c r="A1842" s="65">
        <v>45083</v>
      </c>
      <c r="B1842" s="66">
        <v>18599</v>
      </c>
      <c r="C1842" s="66">
        <v>18600.8</v>
      </c>
      <c r="D1842" s="66">
        <v>18622.75</v>
      </c>
      <c r="E1842" s="66">
        <v>18531.599999999999</v>
      </c>
      <c r="F1842" s="67" t="s">
        <v>901</v>
      </c>
      <c r="G1842" s="68">
        <v>2.9999999999999997E-4</v>
      </c>
      <c r="H1842" s="64"/>
    </row>
    <row r="1843" spans="1:8" x14ac:dyDescent="0.25">
      <c r="A1843" s="65">
        <v>45084</v>
      </c>
      <c r="B1843" s="66">
        <v>18726.400000000001</v>
      </c>
      <c r="C1843" s="66">
        <v>18665.599999999999</v>
      </c>
      <c r="D1843" s="66">
        <v>18738.95</v>
      </c>
      <c r="E1843" s="66">
        <v>18636</v>
      </c>
      <c r="F1843" s="67" t="s">
        <v>900</v>
      </c>
      <c r="G1843" s="68">
        <v>6.7999999999999996E-3</v>
      </c>
      <c r="H1843" s="64"/>
    </row>
    <row r="1844" spans="1:8" x14ac:dyDescent="0.25">
      <c r="A1844" s="65">
        <v>45085</v>
      </c>
      <c r="B1844" s="66">
        <v>18634.55</v>
      </c>
      <c r="C1844" s="66">
        <v>18725.349999999999</v>
      </c>
      <c r="D1844" s="66">
        <v>18777.900000000001</v>
      </c>
      <c r="E1844" s="66">
        <v>18615.599999999999</v>
      </c>
      <c r="F1844" s="67" t="s">
        <v>899</v>
      </c>
      <c r="G1844" s="68">
        <v>-4.8999999999999998E-3</v>
      </c>
      <c r="H1844" s="64"/>
    </row>
    <row r="1845" spans="1:8" x14ac:dyDescent="0.25">
      <c r="A1845" s="65">
        <v>45086</v>
      </c>
      <c r="B1845" s="66">
        <v>18563.400000000001</v>
      </c>
      <c r="C1845" s="66">
        <v>18655.900000000001</v>
      </c>
      <c r="D1845" s="66">
        <v>18676.650000000001</v>
      </c>
      <c r="E1845" s="66">
        <v>18555.400000000001</v>
      </c>
      <c r="F1845" s="67" t="s">
        <v>898</v>
      </c>
      <c r="G1845" s="68">
        <v>-3.8E-3</v>
      </c>
      <c r="H1845" s="64"/>
    </row>
    <row r="1846" spans="1:8" x14ac:dyDescent="0.25">
      <c r="A1846" s="65">
        <v>45089</v>
      </c>
      <c r="B1846" s="66">
        <v>18601.5</v>
      </c>
      <c r="C1846" s="66">
        <v>18595.05</v>
      </c>
      <c r="D1846" s="66">
        <v>18633.599999999999</v>
      </c>
      <c r="E1846" s="66">
        <v>18559.75</v>
      </c>
      <c r="F1846" s="67" t="s">
        <v>897</v>
      </c>
      <c r="G1846" s="68">
        <v>2.0999999999999999E-3</v>
      </c>
      <c r="H1846" s="64"/>
    </row>
    <row r="1847" spans="1:8" x14ac:dyDescent="0.25">
      <c r="A1847" s="65">
        <v>45090</v>
      </c>
      <c r="B1847" s="66">
        <v>18716.150000000001</v>
      </c>
      <c r="C1847" s="66">
        <v>18631.8</v>
      </c>
      <c r="D1847" s="66">
        <v>18728.900000000001</v>
      </c>
      <c r="E1847" s="66">
        <v>18631.8</v>
      </c>
      <c r="F1847" s="67" t="s">
        <v>896</v>
      </c>
      <c r="G1847" s="68">
        <v>6.1999999999999998E-3</v>
      </c>
      <c r="H1847" s="64"/>
    </row>
    <row r="1848" spans="1:8" x14ac:dyDescent="0.25">
      <c r="A1848" s="65">
        <v>45091</v>
      </c>
      <c r="B1848" s="66">
        <v>18755.900000000001</v>
      </c>
      <c r="C1848" s="66">
        <v>18744.599999999999</v>
      </c>
      <c r="D1848" s="66">
        <v>18769.7</v>
      </c>
      <c r="E1848" s="66">
        <v>18690</v>
      </c>
      <c r="F1848" s="67" t="s">
        <v>895</v>
      </c>
      <c r="G1848" s="68">
        <v>2.0999999999999999E-3</v>
      </c>
      <c r="H1848" s="64"/>
    </row>
    <row r="1849" spans="1:8" x14ac:dyDescent="0.25">
      <c r="A1849" s="65">
        <v>45092</v>
      </c>
      <c r="B1849" s="66">
        <v>18688.099999999999</v>
      </c>
      <c r="C1849" s="66">
        <v>18774.45</v>
      </c>
      <c r="D1849" s="66">
        <v>18794.099999999999</v>
      </c>
      <c r="E1849" s="66">
        <v>18669.05</v>
      </c>
      <c r="F1849" s="67" t="s">
        <v>894</v>
      </c>
      <c r="G1849" s="68">
        <v>-3.5999999999999999E-3</v>
      </c>
      <c r="H1849" s="64"/>
    </row>
    <row r="1850" spans="1:8" x14ac:dyDescent="0.25">
      <c r="A1850" s="65">
        <v>45093</v>
      </c>
      <c r="B1850" s="66">
        <v>18826</v>
      </c>
      <c r="C1850" s="66">
        <v>18723.3</v>
      </c>
      <c r="D1850" s="66">
        <v>18864.7</v>
      </c>
      <c r="E1850" s="66">
        <v>18710.5</v>
      </c>
      <c r="F1850" s="67" t="s">
        <v>893</v>
      </c>
      <c r="G1850" s="68">
        <v>7.4000000000000003E-3</v>
      </c>
      <c r="H1850" s="64"/>
    </row>
    <row r="1851" spans="1:8" x14ac:dyDescent="0.25">
      <c r="A1851" s="65">
        <v>45096</v>
      </c>
      <c r="B1851" s="66">
        <v>18755.45</v>
      </c>
      <c r="C1851" s="66">
        <v>18873.3</v>
      </c>
      <c r="D1851" s="66">
        <v>18881.45</v>
      </c>
      <c r="E1851" s="66">
        <v>18719.150000000001</v>
      </c>
      <c r="F1851" s="67" t="s">
        <v>892</v>
      </c>
      <c r="G1851" s="68">
        <v>-3.7000000000000002E-3</v>
      </c>
      <c r="H1851" s="64"/>
    </row>
    <row r="1852" spans="1:8" x14ac:dyDescent="0.25">
      <c r="A1852" s="65">
        <v>45097</v>
      </c>
      <c r="B1852" s="66">
        <v>18816.7</v>
      </c>
      <c r="C1852" s="66">
        <v>18752.349999999999</v>
      </c>
      <c r="D1852" s="66">
        <v>18839.7</v>
      </c>
      <c r="E1852" s="66">
        <v>18660.650000000001</v>
      </c>
      <c r="F1852" s="67" t="s">
        <v>891</v>
      </c>
      <c r="G1852" s="68">
        <v>3.3E-3</v>
      </c>
      <c r="H1852" s="64"/>
    </row>
    <row r="1853" spans="1:8" x14ac:dyDescent="0.25">
      <c r="A1853" s="65">
        <v>45098</v>
      </c>
      <c r="B1853" s="66">
        <v>18856.849999999999</v>
      </c>
      <c r="C1853" s="66">
        <v>18849.400000000001</v>
      </c>
      <c r="D1853" s="66">
        <v>18875.900000000001</v>
      </c>
      <c r="E1853" s="66">
        <v>18794.849999999999</v>
      </c>
      <c r="F1853" s="67" t="s">
        <v>890</v>
      </c>
      <c r="G1853" s="68">
        <v>2.0999999999999999E-3</v>
      </c>
      <c r="H1853" s="64"/>
    </row>
    <row r="1854" spans="1:8" x14ac:dyDescent="0.25">
      <c r="A1854" s="65">
        <v>45099</v>
      </c>
      <c r="B1854" s="66">
        <v>18771.25</v>
      </c>
      <c r="C1854" s="66">
        <v>18853.599999999999</v>
      </c>
      <c r="D1854" s="66">
        <v>18886.599999999999</v>
      </c>
      <c r="E1854" s="66">
        <v>18759.5</v>
      </c>
      <c r="F1854" s="67" t="s">
        <v>889</v>
      </c>
      <c r="G1854" s="68">
        <v>-4.4999999999999997E-3</v>
      </c>
      <c r="H1854" s="64"/>
    </row>
    <row r="1855" spans="1:8" x14ac:dyDescent="0.25">
      <c r="A1855" s="65">
        <v>45100</v>
      </c>
      <c r="B1855" s="66">
        <v>18665.5</v>
      </c>
      <c r="C1855" s="66">
        <v>18741.849999999999</v>
      </c>
      <c r="D1855" s="66">
        <v>18756.400000000001</v>
      </c>
      <c r="E1855" s="66">
        <v>18647.099999999999</v>
      </c>
      <c r="F1855" s="67" t="s">
        <v>888</v>
      </c>
      <c r="G1855" s="68">
        <v>-5.5999999999999999E-3</v>
      </c>
      <c r="H1855" s="64"/>
    </row>
    <row r="1856" spans="1:8" x14ac:dyDescent="0.25">
      <c r="A1856" s="65">
        <v>45103</v>
      </c>
      <c r="B1856" s="66">
        <v>18691.2</v>
      </c>
      <c r="C1856" s="66">
        <v>18682.349999999999</v>
      </c>
      <c r="D1856" s="66">
        <v>18722.05</v>
      </c>
      <c r="E1856" s="66">
        <v>18646.7</v>
      </c>
      <c r="F1856" s="67" t="s">
        <v>887</v>
      </c>
      <c r="G1856" s="68">
        <v>1.4E-3</v>
      </c>
      <c r="H1856" s="64"/>
    </row>
    <row r="1857" spans="1:8" x14ac:dyDescent="0.25">
      <c r="A1857" s="65">
        <v>45104</v>
      </c>
      <c r="B1857" s="66">
        <v>18817.400000000001</v>
      </c>
      <c r="C1857" s="66">
        <v>18748.55</v>
      </c>
      <c r="D1857" s="66">
        <v>18829.25</v>
      </c>
      <c r="E1857" s="66">
        <v>18714.25</v>
      </c>
      <c r="F1857" s="67" t="s">
        <v>886</v>
      </c>
      <c r="G1857" s="68">
        <v>6.7999999999999996E-3</v>
      </c>
      <c r="H1857" s="64"/>
    </row>
    <row r="1858" spans="1:8" x14ac:dyDescent="0.25">
      <c r="A1858" s="65">
        <v>45105</v>
      </c>
      <c r="B1858" s="66">
        <v>18972.099999999999</v>
      </c>
      <c r="C1858" s="66">
        <v>18908.150000000001</v>
      </c>
      <c r="D1858" s="66">
        <v>19011.25</v>
      </c>
      <c r="E1858" s="66">
        <v>18861.349999999999</v>
      </c>
      <c r="F1858" s="67" t="s">
        <v>885</v>
      </c>
      <c r="G1858" s="68">
        <v>8.2000000000000007E-3</v>
      </c>
      <c r="H1858" s="64"/>
    </row>
    <row r="1859" spans="1:8" x14ac:dyDescent="0.25">
      <c r="A1859" s="65">
        <v>45107</v>
      </c>
      <c r="B1859" s="66">
        <v>19189.05</v>
      </c>
      <c r="C1859" s="66">
        <v>19076.849999999999</v>
      </c>
      <c r="D1859" s="66">
        <v>19201.7</v>
      </c>
      <c r="E1859" s="66">
        <v>19024.599999999999</v>
      </c>
      <c r="F1859" s="67" t="s">
        <v>884</v>
      </c>
      <c r="G1859" s="68">
        <v>1.14E-2</v>
      </c>
      <c r="H1859" s="64"/>
    </row>
    <row r="1860" spans="1:8" x14ac:dyDescent="0.25">
      <c r="A1860" s="65">
        <v>45110</v>
      </c>
      <c r="B1860" s="66">
        <v>19322.55</v>
      </c>
      <c r="C1860" s="66">
        <v>19246.5</v>
      </c>
      <c r="D1860" s="66">
        <v>19345.099999999999</v>
      </c>
      <c r="E1860" s="66">
        <v>19234.400000000001</v>
      </c>
      <c r="F1860" s="67" t="s">
        <v>883</v>
      </c>
      <c r="G1860" s="68">
        <v>7.0000000000000001E-3</v>
      </c>
      <c r="H1860" s="64"/>
    </row>
    <row r="1861" spans="1:8" x14ac:dyDescent="0.25">
      <c r="A1861" s="65">
        <v>45111</v>
      </c>
      <c r="B1861" s="66">
        <v>19389</v>
      </c>
      <c r="C1861" s="66">
        <v>19406.599999999999</v>
      </c>
      <c r="D1861" s="66">
        <v>19434.150000000001</v>
      </c>
      <c r="E1861" s="66">
        <v>19300</v>
      </c>
      <c r="F1861" s="67" t="s">
        <v>349</v>
      </c>
      <c r="G1861" s="68">
        <v>3.3999999999999998E-3</v>
      </c>
      <c r="H1861" s="64"/>
    </row>
    <row r="1862" spans="1:8" x14ac:dyDescent="0.25">
      <c r="A1862" s="65">
        <v>45112</v>
      </c>
      <c r="B1862" s="66">
        <v>19398.5</v>
      </c>
      <c r="C1862" s="66">
        <v>19405.95</v>
      </c>
      <c r="D1862" s="66">
        <v>19421.599999999999</v>
      </c>
      <c r="E1862" s="66">
        <v>19339.599999999999</v>
      </c>
      <c r="F1862" s="67" t="s">
        <v>882</v>
      </c>
      <c r="G1862" s="68">
        <v>5.0000000000000001E-4</v>
      </c>
      <c r="H1862" s="64"/>
    </row>
    <row r="1863" spans="1:8" x14ac:dyDescent="0.25">
      <c r="A1863" s="65">
        <v>45113</v>
      </c>
      <c r="B1863" s="66">
        <v>19497.3</v>
      </c>
      <c r="C1863" s="66">
        <v>19385.7</v>
      </c>
      <c r="D1863" s="66">
        <v>19512.2</v>
      </c>
      <c r="E1863" s="66">
        <v>19373</v>
      </c>
      <c r="F1863" s="67" t="s">
        <v>848</v>
      </c>
      <c r="G1863" s="68">
        <v>5.1000000000000004E-3</v>
      </c>
      <c r="H1863" s="64"/>
    </row>
    <row r="1864" spans="1:8" x14ac:dyDescent="0.25">
      <c r="A1864" s="65">
        <v>45114</v>
      </c>
      <c r="B1864" s="66">
        <v>19331.8</v>
      </c>
      <c r="C1864" s="66">
        <v>19422.8</v>
      </c>
      <c r="D1864" s="66">
        <v>19523.599999999999</v>
      </c>
      <c r="E1864" s="66">
        <v>19303.599999999999</v>
      </c>
      <c r="F1864" s="67" t="s">
        <v>881</v>
      </c>
      <c r="G1864" s="68">
        <v>-8.5000000000000006E-3</v>
      </c>
      <c r="H1864" s="64"/>
    </row>
    <row r="1865" spans="1:8" x14ac:dyDescent="0.25">
      <c r="A1865" s="65">
        <v>45117</v>
      </c>
      <c r="B1865" s="66">
        <v>19355.900000000001</v>
      </c>
      <c r="C1865" s="66">
        <v>19400.349999999999</v>
      </c>
      <c r="D1865" s="66">
        <v>19435.849999999999</v>
      </c>
      <c r="E1865" s="66">
        <v>19327.099999999999</v>
      </c>
      <c r="F1865" s="67" t="s">
        <v>880</v>
      </c>
      <c r="G1865" s="68">
        <v>1.1999999999999999E-3</v>
      </c>
      <c r="H1865" s="64"/>
    </row>
    <row r="1866" spans="1:8" x14ac:dyDescent="0.25">
      <c r="A1866" s="65">
        <v>45118</v>
      </c>
      <c r="B1866" s="66">
        <v>19439.400000000001</v>
      </c>
      <c r="C1866" s="66">
        <v>19427.099999999999</v>
      </c>
      <c r="D1866" s="66">
        <v>19515.099999999999</v>
      </c>
      <c r="E1866" s="66">
        <v>19406.45</v>
      </c>
      <c r="F1866" s="67" t="s">
        <v>879</v>
      </c>
      <c r="G1866" s="68">
        <v>4.3E-3</v>
      </c>
      <c r="H1866" s="64"/>
    </row>
    <row r="1867" spans="1:8" x14ac:dyDescent="0.25">
      <c r="A1867" s="65">
        <v>45119</v>
      </c>
      <c r="B1867" s="66">
        <v>19384.3</v>
      </c>
      <c r="C1867" s="66">
        <v>19497.45</v>
      </c>
      <c r="D1867" s="66">
        <v>19507.7</v>
      </c>
      <c r="E1867" s="66">
        <v>19361.75</v>
      </c>
      <c r="F1867" s="67" t="s">
        <v>878</v>
      </c>
      <c r="G1867" s="68">
        <v>-2.8E-3</v>
      </c>
      <c r="H1867" s="64"/>
    </row>
    <row r="1868" spans="1:8" x14ac:dyDescent="0.25">
      <c r="A1868" s="65">
        <v>45120</v>
      </c>
      <c r="B1868" s="66">
        <v>19413.75</v>
      </c>
      <c r="C1868" s="66">
        <v>19495.2</v>
      </c>
      <c r="D1868" s="66">
        <v>19567</v>
      </c>
      <c r="E1868" s="66">
        <v>19385.8</v>
      </c>
      <c r="F1868" s="67" t="s">
        <v>877</v>
      </c>
      <c r="G1868" s="68">
        <v>1.5E-3</v>
      </c>
      <c r="H1868" s="64"/>
    </row>
    <row r="1869" spans="1:8" x14ac:dyDescent="0.25">
      <c r="A1869" s="65">
        <v>45121</v>
      </c>
      <c r="B1869" s="66">
        <v>19564.5</v>
      </c>
      <c r="C1869" s="66">
        <v>19493.45</v>
      </c>
      <c r="D1869" s="66">
        <v>19595.349999999999</v>
      </c>
      <c r="E1869" s="66">
        <v>19433.5</v>
      </c>
      <c r="F1869" s="67" t="s">
        <v>876</v>
      </c>
      <c r="G1869" s="68">
        <v>7.7999999999999996E-3</v>
      </c>
      <c r="H1869" s="64"/>
    </row>
    <row r="1870" spans="1:8" x14ac:dyDescent="0.25">
      <c r="A1870" s="65">
        <v>45124</v>
      </c>
      <c r="B1870" s="66">
        <v>19711.45</v>
      </c>
      <c r="C1870" s="66">
        <v>19612.150000000001</v>
      </c>
      <c r="D1870" s="66">
        <v>19731.849999999999</v>
      </c>
      <c r="E1870" s="66">
        <v>19562.95</v>
      </c>
      <c r="F1870" s="67" t="s">
        <v>875</v>
      </c>
      <c r="G1870" s="68">
        <v>7.4999999999999997E-3</v>
      </c>
      <c r="H1870" s="64"/>
    </row>
    <row r="1871" spans="1:8" x14ac:dyDescent="0.25">
      <c r="A1871" s="65">
        <v>45125</v>
      </c>
      <c r="B1871" s="66">
        <v>19749.25</v>
      </c>
      <c r="C1871" s="66">
        <v>19787.5</v>
      </c>
      <c r="D1871" s="66">
        <v>19819.45</v>
      </c>
      <c r="E1871" s="66">
        <v>19690.2</v>
      </c>
      <c r="F1871" s="67" t="s">
        <v>874</v>
      </c>
      <c r="G1871" s="68">
        <v>1.9E-3</v>
      </c>
      <c r="H1871" s="64"/>
    </row>
    <row r="1872" spans="1:8" x14ac:dyDescent="0.25">
      <c r="A1872" s="65">
        <v>45126</v>
      </c>
      <c r="B1872" s="66">
        <v>19833.150000000001</v>
      </c>
      <c r="C1872" s="66">
        <v>19802.95</v>
      </c>
      <c r="D1872" s="66">
        <v>19851.7</v>
      </c>
      <c r="E1872" s="66">
        <v>19727.45</v>
      </c>
      <c r="F1872" s="67" t="s">
        <v>873</v>
      </c>
      <c r="G1872" s="68">
        <v>4.1999999999999997E-3</v>
      </c>
      <c r="H1872" s="64"/>
    </row>
    <row r="1873" spans="1:8" x14ac:dyDescent="0.25">
      <c r="A1873" s="65">
        <v>45127</v>
      </c>
      <c r="B1873" s="66">
        <v>19979.150000000001</v>
      </c>
      <c r="C1873" s="66">
        <v>19831.7</v>
      </c>
      <c r="D1873" s="66">
        <v>19991.849999999999</v>
      </c>
      <c r="E1873" s="66">
        <v>19758.400000000001</v>
      </c>
      <c r="F1873" s="67" t="s">
        <v>872</v>
      </c>
      <c r="G1873" s="68">
        <v>7.4000000000000003E-3</v>
      </c>
      <c r="H1873" s="64"/>
    </row>
    <row r="1874" spans="1:8" x14ac:dyDescent="0.25">
      <c r="A1874" s="65">
        <v>45128</v>
      </c>
      <c r="B1874" s="66">
        <v>19745</v>
      </c>
      <c r="C1874" s="66">
        <v>19800.45</v>
      </c>
      <c r="D1874" s="66">
        <v>19887.400000000001</v>
      </c>
      <c r="E1874" s="66">
        <v>19700</v>
      </c>
      <c r="F1874" s="67" t="s">
        <v>871</v>
      </c>
      <c r="G1874" s="68">
        <v>-1.17E-2</v>
      </c>
      <c r="H1874" s="64"/>
    </row>
    <row r="1875" spans="1:8" x14ac:dyDescent="0.25">
      <c r="A1875" s="65">
        <v>45131</v>
      </c>
      <c r="B1875" s="66">
        <v>19672.349999999999</v>
      </c>
      <c r="C1875" s="66">
        <v>19748.45</v>
      </c>
      <c r="D1875" s="66">
        <v>19782.75</v>
      </c>
      <c r="E1875" s="66">
        <v>19658.3</v>
      </c>
      <c r="F1875" s="67" t="s">
        <v>870</v>
      </c>
      <c r="G1875" s="68">
        <v>-3.7000000000000002E-3</v>
      </c>
      <c r="H1875" s="64"/>
    </row>
    <row r="1876" spans="1:8" x14ac:dyDescent="0.25">
      <c r="A1876" s="65">
        <v>45132</v>
      </c>
      <c r="B1876" s="66">
        <v>19680.599999999999</v>
      </c>
      <c r="C1876" s="66">
        <v>19729.349999999999</v>
      </c>
      <c r="D1876" s="66">
        <v>19729.349999999999</v>
      </c>
      <c r="E1876" s="66">
        <v>19615.95</v>
      </c>
      <c r="F1876" s="67" t="s">
        <v>869</v>
      </c>
      <c r="G1876" s="68">
        <v>4.0000000000000002E-4</v>
      </c>
      <c r="H1876" s="64"/>
    </row>
    <row r="1877" spans="1:8" x14ac:dyDescent="0.25">
      <c r="A1877" s="65">
        <v>45133</v>
      </c>
      <c r="B1877" s="66">
        <v>19778.3</v>
      </c>
      <c r="C1877" s="66">
        <v>19733.349999999999</v>
      </c>
      <c r="D1877" s="66">
        <v>19825.599999999999</v>
      </c>
      <c r="E1877" s="66">
        <v>19716.7</v>
      </c>
      <c r="F1877" s="67" t="s">
        <v>868</v>
      </c>
      <c r="G1877" s="68">
        <v>5.0000000000000001E-3</v>
      </c>
      <c r="H1877" s="64"/>
    </row>
    <row r="1878" spans="1:8" x14ac:dyDescent="0.25">
      <c r="A1878" s="65">
        <v>45134</v>
      </c>
      <c r="B1878" s="66">
        <v>19659.900000000001</v>
      </c>
      <c r="C1878" s="66">
        <v>19850.900000000001</v>
      </c>
      <c r="D1878" s="66">
        <v>19867.55</v>
      </c>
      <c r="E1878" s="66">
        <v>19603.55</v>
      </c>
      <c r="F1878" s="67" t="s">
        <v>867</v>
      </c>
      <c r="G1878" s="68">
        <v>-6.0000000000000001E-3</v>
      </c>
      <c r="H1878" s="64"/>
    </row>
    <row r="1879" spans="1:8" x14ac:dyDescent="0.25">
      <c r="A1879" s="65">
        <v>45135</v>
      </c>
      <c r="B1879" s="66">
        <v>19646.05</v>
      </c>
      <c r="C1879" s="66">
        <v>19659.75</v>
      </c>
      <c r="D1879" s="66">
        <v>19695.900000000001</v>
      </c>
      <c r="E1879" s="66">
        <v>19563.099999999999</v>
      </c>
      <c r="F1879" s="67" t="s">
        <v>866</v>
      </c>
      <c r="G1879" s="68">
        <v>-6.9999999999999999E-4</v>
      </c>
      <c r="H1879" s="64"/>
    </row>
    <row r="1880" spans="1:8" x14ac:dyDescent="0.25">
      <c r="A1880" s="65">
        <v>45138</v>
      </c>
      <c r="B1880" s="66">
        <v>19753.8</v>
      </c>
      <c r="C1880" s="66">
        <v>19666.349999999999</v>
      </c>
      <c r="D1880" s="66">
        <v>19772.75</v>
      </c>
      <c r="E1880" s="66">
        <v>19597.599999999999</v>
      </c>
      <c r="F1880" s="67" t="s">
        <v>865</v>
      </c>
      <c r="G1880" s="68">
        <v>5.4999999999999997E-3</v>
      </c>
      <c r="H1880" s="64"/>
    </row>
    <row r="1881" spans="1:8" x14ac:dyDescent="0.25">
      <c r="A1881" s="65">
        <v>45139</v>
      </c>
      <c r="B1881" s="66">
        <v>19733.55</v>
      </c>
      <c r="C1881" s="66">
        <v>19784</v>
      </c>
      <c r="D1881" s="66">
        <v>19795.599999999999</v>
      </c>
      <c r="E1881" s="66">
        <v>19704.599999999999</v>
      </c>
      <c r="F1881" s="67" t="s">
        <v>864</v>
      </c>
      <c r="G1881" s="68">
        <v>-1E-3</v>
      </c>
      <c r="H1881" s="64"/>
    </row>
    <row r="1882" spans="1:8" x14ac:dyDescent="0.25">
      <c r="A1882" s="65">
        <v>45140</v>
      </c>
      <c r="B1882" s="66">
        <v>19526.55</v>
      </c>
      <c r="C1882" s="66">
        <v>19655.400000000001</v>
      </c>
      <c r="D1882" s="66">
        <v>19678.25</v>
      </c>
      <c r="E1882" s="66">
        <v>19423.55</v>
      </c>
      <c r="F1882" s="67" t="s">
        <v>863</v>
      </c>
      <c r="G1882" s="68">
        <v>-1.0500000000000001E-2</v>
      </c>
      <c r="H1882" s="64"/>
    </row>
    <row r="1883" spans="1:8" x14ac:dyDescent="0.25">
      <c r="A1883" s="65">
        <v>45141</v>
      </c>
      <c r="B1883" s="66">
        <v>19381.650000000001</v>
      </c>
      <c r="C1883" s="66">
        <v>19463.75</v>
      </c>
      <c r="D1883" s="66">
        <v>19537.650000000001</v>
      </c>
      <c r="E1883" s="66">
        <v>19296.45</v>
      </c>
      <c r="F1883" s="67" t="s">
        <v>862</v>
      </c>
      <c r="G1883" s="68">
        <v>-7.4000000000000003E-3</v>
      </c>
      <c r="H1883" s="64"/>
    </row>
    <row r="1884" spans="1:8" x14ac:dyDescent="0.25">
      <c r="A1884" s="65">
        <v>45142</v>
      </c>
      <c r="B1884" s="66">
        <v>19517</v>
      </c>
      <c r="C1884" s="66">
        <v>19462.8</v>
      </c>
      <c r="D1884" s="66">
        <v>19538.849999999999</v>
      </c>
      <c r="E1884" s="66">
        <v>19436.45</v>
      </c>
      <c r="F1884" s="67" t="s">
        <v>861</v>
      </c>
      <c r="G1884" s="68">
        <v>7.0000000000000001E-3</v>
      </c>
      <c r="H1884" s="64"/>
    </row>
    <row r="1885" spans="1:8" x14ac:dyDescent="0.25">
      <c r="A1885" s="65">
        <v>45145</v>
      </c>
      <c r="B1885" s="66">
        <v>19597.3</v>
      </c>
      <c r="C1885" s="66">
        <v>19576.849999999999</v>
      </c>
      <c r="D1885" s="66">
        <v>19620.45</v>
      </c>
      <c r="E1885" s="66">
        <v>19524.8</v>
      </c>
      <c r="F1885" s="67" t="s">
        <v>860</v>
      </c>
      <c r="G1885" s="68">
        <v>4.1000000000000003E-3</v>
      </c>
      <c r="H1885" s="64"/>
    </row>
    <row r="1886" spans="1:8" x14ac:dyDescent="0.25">
      <c r="A1886" s="65">
        <v>45146</v>
      </c>
      <c r="B1886" s="66">
        <v>19570.849999999999</v>
      </c>
      <c r="C1886" s="66">
        <v>19627.2</v>
      </c>
      <c r="D1886" s="66">
        <v>19634.400000000001</v>
      </c>
      <c r="E1886" s="66">
        <v>19533.099999999999</v>
      </c>
      <c r="F1886" s="67" t="s">
        <v>859</v>
      </c>
      <c r="G1886" s="68">
        <v>-1.2999999999999999E-3</v>
      </c>
      <c r="H1886" s="64"/>
    </row>
    <row r="1887" spans="1:8" x14ac:dyDescent="0.25">
      <c r="A1887" s="65">
        <v>45147</v>
      </c>
      <c r="B1887" s="66">
        <v>19632.55</v>
      </c>
      <c r="C1887" s="66">
        <v>19578.8</v>
      </c>
      <c r="D1887" s="66">
        <v>19645.5</v>
      </c>
      <c r="E1887" s="66">
        <v>19467.5</v>
      </c>
      <c r="F1887" s="67" t="s">
        <v>858</v>
      </c>
      <c r="G1887" s="68">
        <v>3.2000000000000002E-3</v>
      </c>
      <c r="H1887" s="64"/>
    </row>
    <row r="1888" spans="1:8" x14ac:dyDescent="0.25">
      <c r="A1888" s="65">
        <v>45148</v>
      </c>
      <c r="B1888" s="66">
        <v>19543.099999999999</v>
      </c>
      <c r="C1888" s="66">
        <v>19605.55</v>
      </c>
      <c r="D1888" s="66">
        <v>19623.599999999999</v>
      </c>
      <c r="E1888" s="66">
        <v>19495.400000000001</v>
      </c>
      <c r="F1888" s="67" t="s">
        <v>857</v>
      </c>
      <c r="G1888" s="68">
        <v>-4.5999999999999999E-3</v>
      </c>
      <c r="H1888" s="64"/>
    </row>
    <row r="1889" spans="1:8" x14ac:dyDescent="0.25">
      <c r="A1889" s="65">
        <v>45149</v>
      </c>
      <c r="B1889" s="66">
        <v>19428.3</v>
      </c>
      <c r="C1889" s="66">
        <v>19554.25</v>
      </c>
      <c r="D1889" s="66">
        <v>19557.75</v>
      </c>
      <c r="E1889" s="66">
        <v>19412.75</v>
      </c>
      <c r="F1889" s="67" t="s">
        <v>856</v>
      </c>
      <c r="G1889" s="68">
        <v>-5.8999999999999999E-3</v>
      </c>
      <c r="H1889" s="64"/>
    </row>
    <row r="1890" spans="1:8" x14ac:dyDescent="0.25">
      <c r="A1890" s="65">
        <v>45152</v>
      </c>
      <c r="B1890" s="66">
        <v>19434.55</v>
      </c>
      <c r="C1890" s="66">
        <v>19383.95</v>
      </c>
      <c r="D1890" s="66">
        <v>19465.849999999999</v>
      </c>
      <c r="E1890" s="66">
        <v>19257.900000000001</v>
      </c>
      <c r="F1890" s="67" t="s">
        <v>855</v>
      </c>
      <c r="G1890" s="68">
        <v>2.9999999999999997E-4</v>
      </c>
      <c r="H1890" s="64"/>
    </row>
    <row r="1891" spans="1:8" x14ac:dyDescent="0.25">
      <c r="A1891" s="65">
        <v>45154</v>
      </c>
      <c r="B1891" s="66">
        <v>19465</v>
      </c>
      <c r="C1891" s="66">
        <v>19369</v>
      </c>
      <c r="D1891" s="66">
        <v>19482.75</v>
      </c>
      <c r="E1891" s="66">
        <v>19317.2</v>
      </c>
      <c r="F1891" s="67" t="s">
        <v>854</v>
      </c>
      <c r="G1891" s="68">
        <v>1.6000000000000001E-3</v>
      </c>
      <c r="H1891" s="64"/>
    </row>
    <row r="1892" spans="1:8" x14ac:dyDescent="0.25">
      <c r="A1892" s="65">
        <v>45155</v>
      </c>
      <c r="B1892" s="66">
        <v>19365.25</v>
      </c>
      <c r="C1892" s="66">
        <v>19450.55</v>
      </c>
      <c r="D1892" s="66">
        <v>19461.55</v>
      </c>
      <c r="E1892" s="66">
        <v>19326.25</v>
      </c>
      <c r="F1892" s="67" t="s">
        <v>853</v>
      </c>
      <c r="G1892" s="68">
        <v>-5.1000000000000004E-3</v>
      </c>
      <c r="H1892" s="64"/>
    </row>
    <row r="1893" spans="1:8" x14ac:dyDescent="0.25">
      <c r="A1893" s="65">
        <v>45156</v>
      </c>
      <c r="B1893" s="66">
        <v>19310.150000000001</v>
      </c>
      <c r="C1893" s="66">
        <v>19301.75</v>
      </c>
      <c r="D1893" s="66">
        <v>19373.8</v>
      </c>
      <c r="E1893" s="66">
        <v>19253.599999999999</v>
      </c>
      <c r="F1893" s="67" t="s">
        <v>852</v>
      </c>
      <c r="G1893" s="68">
        <v>-2.8E-3</v>
      </c>
      <c r="H1893" s="64"/>
    </row>
    <row r="1894" spans="1:8" x14ac:dyDescent="0.25">
      <c r="A1894" s="65">
        <v>45159</v>
      </c>
      <c r="B1894" s="66">
        <v>19393.599999999999</v>
      </c>
      <c r="C1894" s="66">
        <v>19320.650000000001</v>
      </c>
      <c r="D1894" s="66">
        <v>19425.95</v>
      </c>
      <c r="E1894" s="66">
        <v>19296.3</v>
      </c>
      <c r="F1894" s="67" t="s">
        <v>851</v>
      </c>
      <c r="G1894" s="68">
        <v>4.3E-3</v>
      </c>
      <c r="H1894" s="64"/>
    </row>
    <row r="1895" spans="1:8" x14ac:dyDescent="0.25">
      <c r="A1895" s="65">
        <v>45160</v>
      </c>
      <c r="B1895" s="66">
        <v>19396.45</v>
      </c>
      <c r="C1895" s="66">
        <v>19417.099999999999</v>
      </c>
      <c r="D1895" s="66">
        <v>19443.5</v>
      </c>
      <c r="E1895" s="66">
        <v>19381.3</v>
      </c>
      <c r="F1895" s="67" t="s">
        <v>850</v>
      </c>
      <c r="G1895" s="68">
        <v>1E-4</v>
      </c>
      <c r="H1895" s="64"/>
    </row>
    <row r="1896" spans="1:8" x14ac:dyDescent="0.25">
      <c r="A1896" s="65">
        <v>45161</v>
      </c>
      <c r="B1896" s="66">
        <v>19444</v>
      </c>
      <c r="C1896" s="66">
        <v>19439.2</v>
      </c>
      <c r="D1896" s="66">
        <v>19472.05</v>
      </c>
      <c r="E1896" s="66">
        <v>19366.599999999999</v>
      </c>
      <c r="F1896" s="67" t="s">
        <v>849</v>
      </c>
      <c r="G1896" s="68">
        <v>2.5000000000000001E-3</v>
      </c>
      <c r="H1896" s="64"/>
    </row>
    <row r="1897" spans="1:8" x14ac:dyDescent="0.25">
      <c r="A1897" s="65">
        <v>45162</v>
      </c>
      <c r="B1897" s="66">
        <v>19386.7</v>
      </c>
      <c r="C1897" s="66">
        <v>19535.150000000001</v>
      </c>
      <c r="D1897" s="66">
        <v>19584.45</v>
      </c>
      <c r="E1897" s="66">
        <v>19369</v>
      </c>
      <c r="F1897" s="67" t="s">
        <v>848</v>
      </c>
      <c r="G1897" s="68">
        <v>-2.8999999999999998E-3</v>
      </c>
      <c r="H1897" s="64"/>
    </row>
    <row r="1898" spans="1:8" x14ac:dyDescent="0.25">
      <c r="A1898" s="65">
        <v>45163</v>
      </c>
      <c r="B1898" s="66">
        <v>19265.8</v>
      </c>
      <c r="C1898" s="66">
        <v>19297.400000000001</v>
      </c>
      <c r="D1898" s="66">
        <v>19339.55</v>
      </c>
      <c r="E1898" s="66">
        <v>19229.7</v>
      </c>
      <c r="F1898" s="67" t="s">
        <v>847</v>
      </c>
      <c r="G1898" s="68">
        <v>-6.1999999999999998E-3</v>
      </c>
      <c r="H1898" s="64"/>
    </row>
    <row r="1899" spans="1:8" x14ac:dyDescent="0.25">
      <c r="A1899" s="65">
        <v>45166</v>
      </c>
      <c r="B1899" s="66">
        <v>19306.05</v>
      </c>
      <c r="C1899" s="66">
        <v>19298.349999999999</v>
      </c>
      <c r="D1899" s="66">
        <v>19366.849999999999</v>
      </c>
      <c r="E1899" s="66">
        <v>19249.7</v>
      </c>
      <c r="F1899" s="67" t="s">
        <v>846</v>
      </c>
      <c r="G1899" s="68">
        <v>2.0999999999999999E-3</v>
      </c>
      <c r="H1899" s="64"/>
    </row>
    <row r="1900" spans="1:8" x14ac:dyDescent="0.25">
      <c r="A1900" s="65">
        <v>45167</v>
      </c>
      <c r="B1900" s="66">
        <v>19342.650000000001</v>
      </c>
      <c r="C1900" s="66">
        <v>19374.849999999999</v>
      </c>
      <c r="D1900" s="66">
        <v>19377.900000000001</v>
      </c>
      <c r="E1900" s="66">
        <v>19309.099999999999</v>
      </c>
      <c r="F1900" s="67" t="s">
        <v>845</v>
      </c>
      <c r="G1900" s="68">
        <v>1.9E-3</v>
      </c>
      <c r="H1900" s="64"/>
    </row>
    <row r="1901" spans="1:8" x14ac:dyDescent="0.25">
      <c r="A1901" s="65">
        <v>45168</v>
      </c>
      <c r="B1901" s="66">
        <v>19347.45</v>
      </c>
      <c r="C1901" s="66">
        <v>19433.45</v>
      </c>
      <c r="D1901" s="66">
        <v>19452.8</v>
      </c>
      <c r="E1901" s="66">
        <v>19334.75</v>
      </c>
      <c r="F1901" s="67" t="s">
        <v>844</v>
      </c>
      <c r="G1901" s="68">
        <v>2.0000000000000001E-4</v>
      </c>
      <c r="H1901" s="64"/>
    </row>
    <row r="1902" spans="1:8" x14ac:dyDescent="0.25">
      <c r="A1902" s="65">
        <v>45169</v>
      </c>
      <c r="B1902" s="66">
        <v>19253.8</v>
      </c>
      <c r="C1902" s="66">
        <v>19375.55</v>
      </c>
      <c r="D1902" s="66">
        <v>19388.2</v>
      </c>
      <c r="E1902" s="66">
        <v>19223.650000000001</v>
      </c>
      <c r="F1902" s="67" t="s">
        <v>843</v>
      </c>
      <c r="G1902" s="68">
        <v>-4.7999999999999996E-3</v>
      </c>
      <c r="H1902" s="64"/>
    </row>
    <row r="1903" spans="1:8" x14ac:dyDescent="0.25">
      <c r="A1903" s="65">
        <v>45170</v>
      </c>
      <c r="B1903" s="66">
        <v>19435.3</v>
      </c>
      <c r="C1903" s="66">
        <v>19258.150000000001</v>
      </c>
      <c r="D1903" s="66">
        <v>19458.55</v>
      </c>
      <c r="E1903" s="66">
        <v>19255.7</v>
      </c>
      <c r="F1903" s="67" t="s">
        <v>842</v>
      </c>
      <c r="G1903" s="68">
        <v>9.4000000000000004E-3</v>
      </c>
      <c r="H1903" s="64"/>
    </row>
    <row r="1904" spans="1:8" x14ac:dyDescent="0.25">
      <c r="A1904" s="65">
        <v>45173</v>
      </c>
      <c r="B1904" s="66">
        <v>19528.8</v>
      </c>
      <c r="C1904" s="66">
        <v>19525.05</v>
      </c>
      <c r="D1904" s="66">
        <v>19545.150000000001</v>
      </c>
      <c r="E1904" s="66">
        <v>19432.849999999999</v>
      </c>
      <c r="F1904" s="67" t="s">
        <v>841</v>
      </c>
      <c r="G1904" s="68">
        <v>4.7999999999999996E-3</v>
      </c>
      <c r="H1904" s="64"/>
    </row>
    <row r="1905" spans="1:8" x14ac:dyDescent="0.25">
      <c r="A1905" s="65">
        <v>45174</v>
      </c>
      <c r="B1905" s="66">
        <v>19574.900000000001</v>
      </c>
      <c r="C1905" s="66">
        <v>19564.650000000001</v>
      </c>
      <c r="D1905" s="66">
        <v>19587.05</v>
      </c>
      <c r="E1905" s="66">
        <v>19525.75</v>
      </c>
      <c r="F1905" s="67" t="s">
        <v>840</v>
      </c>
      <c r="G1905" s="68">
        <v>2.3999999999999998E-3</v>
      </c>
      <c r="H1905" s="64"/>
    </row>
    <row r="1906" spans="1:8" x14ac:dyDescent="0.25">
      <c r="A1906" s="65">
        <v>45175</v>
      </c>
      <c r="B1906" s="66">
        <v>19611.05</v>
      </c>
      <c r="C1906" s="66">
        <v>19581.2</v>
      </c>
      <c r="D1906" s="66">
        <v>19636.45</v>
      </c>
      <c r="E1906" s="66">
        <v>19491.5</v>
      </c>
      <c r="F1906" s="67" t="s">
        <v>839</v>
      </c>
      <c r="G1906" s="68">
        <v>1.8E-3</v>
      </c>
      <c r="H1906" s="64"/>
    </row>
    <row r="1907" spans="1:8" x14ac:dyDescent="0.25">
      <c r="A1907" s="65">
        <v>45176</v>
      </c>
      <c r="B1907" s="66">
        <v>19727.05</v>
      </c>
      <c r="C1907" s="66">
        <v>19598.650000000001</v>
      </c>
      <c r="D1907" s="66">
        <v>19737</v>
      </c>
      <c r="E1907" s="66">
        <v>19550.05</v>
      </c>
      <c r="F1907" s="67" t="s">
        <v>838</v>
      </c>
      <c r="G1907" s="68">
        <v>5.8999999999999999E-3</v>
      </c>
      <c r="H1907" s="64"/>
    </row>
    <row r="1908" spans="1:8" x14ac:dyDescent="0.25">
      <c r="A1908" s="65">
        <v>45177</v>
      </c>
      <c r="B1908" s="66">
        <v>19819.95</v>
      </c>
      <c r="C1908" s="66">
        <v>19774.8</v>
      </c>
      <c r="D1908" s="66">
        <v>19867.150000000001</v>
      </c>
      <c r="E1908" s="66">
        <v>19727.05</v>
      </c>
      <c r="F1908" s="67" t="s">
        <v>837</v>
      </c>
      <c r="G1908" s="68">
        <v>4.7000000000000002E-3</v>
      </c>
      <c r="H1908" s="64"/>
    </row>
    <row r="1909" spans="1:8" x14ac:dyDescent="0.25">
      <c r="A1909" s="65">
        <v>45180</v>
      </c>
      <c r="B1909" s="66">
        <v>19996.349999999999</v>
      </c>
      <c r="C1909" s="66">
        <v>19890</v>
      </c>
      <c r="D1909" s="66">
        <v>20008.150000000001</v>
      </c>
      <c r="E1909" s="66">
        <v>19865.349999999999</v>
      </c>
      <c r="F1909" s="67" t="s">
        <v>836</v>
      </c>
      <c r="G1909" s="68">
        <v>8.8999999999999999E-3</v>
      </c>
      <c r="H1909" s="64"/>
    </row>
    <row r="1910" spans="1:8" x14ac:dyDescent="0.25">
      <c r="A1910" s="65">
        <v>45181</v>
      </c>
      <c r="B1910" s="66">
        <v>19993.2</v>
      </c>
      <c r="C1910" s="66">
        <v>20110.150000000001</v>
      </c>
      <c r="D1910" s="66">
        <v>20110.349999999999</v>
      </c>
      <c r="E1910" s="66">
        <v>19914.650000000001</v>
      </c>
      <c r="F1910" s="67" t="s">
        <v>835</v>
      </c>
      <c r="G1910" s="68">
        <v>-2.0000000000000001E-4</v>
      </c>
      <c r="H1910" s="64"/>
    </row>
    <row r="1911" spans="1:8" x14ac:dyDescent="0.25">
      <c r="A1911" s="65">
        <v>45182</v>
      </c>
      <c r="B1911" s="66">
        <v>20070</v>
      </c>
      <c r="C1911" s="66">
        <v>19989.5</v>
      </c>
      <c r="D1911" s="66">
        <v>20096.900000000001</v>
      </c>
      <c r="E1911" s="66">
        <v>19944.099999999999</v>
      </c>
      <c r="F1911" s="67" t="s">
        <v>834</v>
      </c>
      <c r="G1911" s="68">
        <v>3.8E-3</v>
      </c>
      <c r="H1911" s="64"/>
    </row>
    <row r="1912" spans="1:8" x14ac:dyDescent="0.25">
      <c r="A1912" s="65">
        <v>45183</v>
      </c>
      <c r="B1912" s="66">
        <v>20103.099999999999</v>
      </c>
      <c r="C1912" s="66">
        <v>20127.95</v>
      </c>
      <c r="D1912" s="66">
        <v>20167.650000000001</v>
      </c>
      <c r="E1912" s="66">
        <v>20043.45</v>
      </c>
      <c r="F1912" s="67" t="s">
        <v>833</v>
      </c>
      <c r="G1912" s="68">
        <v>1.6000000000000001E-3</v>
      </c>
      <c r="H1912" s="64"/>
    </row>
    <row r="1913" spans="1:8" x14ac:dyDescent="0.25">
      <c r="A1913" s="65">
        <v>45184</v>
      </c>
      <c r="B1913" s="66">
        <v>20192.349999999999</v>
      </c>
      <c r="C1913" s="66">
        <v>20156.45</v>
      </c>
      <c r="D1913" s="66">
        <v>20222.45</v>
      </c>
      <c r="E1913" s="66">
        <v>20129.7</v>
      </c>
      <c r="F1913" s="67" t="s">
        <v>832</v>
      </c>
      <c r="G1913" s="68">
        <v>4.4000000000000003E-3</v>
      </c>
      <c r="H1913" s="64"/>
    </row>
    <row r="1914" spans="1:8" x14ac:dyDescent="0.25">
      <c r="A1914" s="65">
        <v>45187</v>
      </c>
      <c r="B1914" s="66">
        <v>20133.3</v>
      </c>
      <c r="C1914" s="66">
        <v>20155.95</v>
      </c>
      <c r="D1914" s="66">
        <v>20195.349999999999</v>
      </c>
      <c r="E1914" s="66">
        <v>20115.7</v>
      </c>
      <c r="F1914" s="67" t="s">
        <v>831</v>
      </c>
      <c r="G1914" s="68">
        <v>-2.8999999999999998E-3</v>
      </c>
      <c r="H1914" s="64"/>
    </row>
    <row r="1915" spans="1:8" x14ac:dyDescent="0.25">
      <c r="A1915" s="65">
        <v>45189</v>
      </c>
      <c r="B1915" s="66">
        <v>19901.400000000001</v>
      </c>
      <c r="C1915" s="66">
        <v>19980.75</v>
      </c>
      <c r="D1915" s="66">
        <v>20050.650000000001</v>
      </c>
      <c r="E1915" s="66">
        <v>19878.849999999999</v>
      </c>
      <c r="F1915" s="67" t="s">
        <v>830</v>
      </c>
      <c r="G1915" s="68">
        <v>-1.15E-2</v>
      </c>
      <c r="H1915" s="64"/>
    </row>
    <row r="1916" spans="1:8" x14ac:dyDescent="0.25">
      <c r="A1916" s="65">
        <v>45190</v>
      </c>
      <c r="B1916" s="66">
        <v>19742.349999999999</v>
      </c>
      <c r="C1916" s="66">
        <v>19840.55</v>
      </c>
      <c r="D1916" s="66">
        <v>19848.75</v>
      </c>
      <c r="E1916" s="66">
        <v>19709.95</v>
      </c>
      <c r="F1916" s="67" t="s">
        <v>829</v>
      </c>
      <c r="G1916" s="68">
        <v>-8.0000000000000002E-3</v>
      </c>
      <c r="H1916" s="64"/>
    </row>
    <row r="1917" spans="1:8" x14ac:dyDescent="0.25">
      <c r="A1917" s="65">
        <v>45191</v>
      </c>
      <c r="B1917" s="66">
        <v>19674.25</v>
      </c>
      <c r="C1917" s="66">
        <v>19744.849999999999</v>
      </c>
      <c r="D1917" s="66">
        <v>19798.650000000001</v>
      </c>
      <c r="E1917" s="66">
        <v>19657.5</v>
      </c>
      <c r="F1917" s="67" t="s">
        <v>828</v>
      </c>
      <c r="G1917" s="68">
        <v>-3.3999999999999998E-3</v>
      </c>
      <c r="H1917" s="64"/>
    </row>
    <row r="1918" spans="1:8" x14ac:dyDescent="0.25">
      <c r="A1918" s="65">
        <v>45194</v>
      </c>
      <c r="B1918" s="66">
        <v>19674.55</v>
      </c>
      <c r="C1918" s="66">
        <v>19678.2</v>
      </c>
      <c r="D1918" s="66">
        <v>19734.150000000001</v>
      </c>
      <c r="E1918" s="66">
        <v>19601.55</v>
      </c>
      <c r="F1918" s="67" t="s">
        <v>827</v>
      </c>
      <c r="G1918" s="68">
        <v>0</v>
      </c>
      <c r="H1918" s="64"/>
    </row>
    <row r="1919" spans="1:8" x14ac:dyDescent="0.25">
      <c r="A1919" s="65">
        <v>45195</v>
      </c>
      <c r="B1919" s="66">
        <v>19664.7</v>
      </c>
      <c r="C1919" s="66">
        <v>19682.8</v>
      </c>
      <c r="D1919" s="66">
        <v>19699.349999999999</v>
      </c>
      <c r="E1919" s="66">
        <v>19637.45</v>
      </c>
      <c r="F1919" s="67" t="s">
        <v>826</v>
      </c>
      <c r="G1919" s="68">
        <v>-5.0000000000000001E-4</v>
      </c>
      <c r="H1919" s="64"/>
    </row>
    <row r="1920" spans="1:8" x14ac:dyDescent="0.25">
      <c r="A1920" s="65">
        <v>45196</v>
      </c>
      <c r="B1920" s="66">
        <v>19716.45</v>
      </c>
      <c r="C1920" s="66">
        <v>19637.05</v>
      </c>
      <c r="D1920" s="66">
        <v>19730.7</v>
      </c>
      <c r="E1920" s="66">
        <v>19554</v>
      </c>
      <c r="F1920" s="67" t="s">
        <v>825</v>
      </c>
      <c r="G1920" s="68">
        <v>2.5999999999999999E-3</v>
      </c>
      <c r="H1920" s="64"/>
    </row>
    <row r="1921" spans="1:8" x14ac:dyDescent="0.25">
      <c r="A1921" s="65">
        <v>45197</v>
      </c>
      <c r="B1921" s="66">
        <v>19523.55</v>
      </c>
      <c r="C1921" s="66">
        <v>19761.8</v>
      </c>
      <c r="D1921" s="66">
        <v>19766.650000000001</v>
      </c>
      <c r="E1921" s="66">
        <v>19492.099999999999</v>
      </c>
      <c r="F1921" s="67" t="s">
        <v>824</v>
      </c>
      <c r="G1921" s="68">
        <v>-9.7999999999999997E-3</v>
      </c>
      <c r="H1921" s="64"/>
    </row>
    <row r="1922" spans="1:8" x14ac:dyDescent="0.25">
      <c r="A1922" s="65">
        <v>45198</v>
      </c>
      <c r="B1922" s="66">
        <v>19638.3</v>
      </c>
      <c r="C1922" s="66">
        <v>19581.2</v>
      </c>
      <c r="D1922" s="66">
        <v>19726.25</v>
      </c>
      <c r="E1922" s="66">
        <v>19551.05</v>
      </c>
      <c r="F1922" s="67" t="s">
        <v>823</v>
      </c>
      <c r="G1922" s="68">
        <v>5.8999999999999999E-3</v>
      </c>
      <c r="H1922" s="64"/>
    </row>
    <row r="1923" spans="1:8" x14ac:dyDescent="0.25">
      <c r="A1923" s="65">
        <v>45202</v>
      </c>
      <c r="B1923" s="66">
        <v>19528.75</v>
      </c>
      <c r="C1923" s="66">
        <v>19622.400000000001</v>
      </c>
      <c r="D1923" s="66">
        <v>19623.2</v>
      </c>
      <c r="E1923" s="66">
        <v>19479.650000000001</v>
      </c>
      <c r="F1923" s="67" t="s">
        <v>822</v>
      </c>
      <c r="G1923" s="68">
        <v>-5.5999999999999999E-3</v>
      </c>
      <c r="H1923" s="64"/>
    </row>
    <row r="1924" spans="1:8" x14ac:dyDescent="0.25">
      <c r="A1924" s="65">
        <v>45203</v>
      </c>
      <c r="B1924" s="66">
        <v>19436.099999999999</v>
      </c>
      <c r="C1924" s="66">
        <v>19446.3</v>
      </c>
      <c r="D1924" s="66">
        <v>19457.8</v>
      </c>
      <c r="E1924" s="66">
        <v>19333.599999999999</v>
      </c>
      <c r="F1924" s="67" t="s">
        <v>821</v>
      </c>
      <c r="G1924" s="68">
        <v>-4.7000000000000002E-3</v>
      </c>
      <c r="H1924" s="64"/>
    </row>
    <row r="1925" spans="1:8" x14ac:dyDescent="0.25">
      <c r="A1925" s="65">
        <v>45204</v>
      </c>
      <c r="B1925" s="66">
        <v>19545.75</v>
      </c>
      <c r="C1925" s="66">
        <v>19521.849999999999</v>
      </c>
      <c r="D1925" s="66">
        <v>19576.95</v>
      </c>
      <c r="E1925" s="66">
        <v>19487.3</v>
      </c>
      <c r="F1925" s="67" t="s">
        <v>820</v>
      </c>
      <c r="G1925" s="68">
        <v>5.5999999999999999E-3</v>
      </c>
      <c r="H1925" s="64"/>
    </row>
    <row r="1926" spans="1:8" x14ac:dyDescent="0.25">
      <c r="A1926" s="65">
        <v>45205</v>
      </c>
      <c r="B1926" s="66">
        <v>19653.5</v>
      </c>
      <c r="C1926" s="66">
        <v>19621.2</v>
      </c>
      <c r="D1926" s="66">
        <v>19675.75</v>
      </c>
      <c r="E1926" s="66">
        <v>19589.400000000001</v>
      </c>
      <c r="F1926" s="67" t="s">
        <v>819</v>
      </c>
      <c r="G1926" s="68">
        <v>5.4999999999999997E-3</v>
      </c>
      <c r="H1926" s="64"/>
    </row>
    <row r="1927" spans="1:8" x14ac:dyDescent="0.25">
      <c r="A1927" s="65">
        <v>45208</v>
      </c>
      <c r="B1927" s="66">
        <v>19512.349999999999</v>
      </c>
      <c r="C1927" s="66">
        <v>19539.45</v>
      </c>
      <c r="D1927" s="66">
        <v>19588.95</v>
      </c>
      <c r="E1927" s="66">
        <v>19480.5</v>
      </c>
      <c r="F1927" s="67" t="s">
        <v>818</v>
      </c>
      <c r="G1927" s="68">
        <v>-7.1999999999999998E-3</v>
      </c>
      <c r="H1927" s="64"/>
    </row>
    <row r="1928" spans="1:8" x14ac:dyDescent="0.25">
      <c r="A1928" s="65">
        <v>45209</v>
      </c>
      <c r="B1928" s="66">
        <v>19689.849999999999</v>
      </c>
      <c r="C1928" s="66">
        <v>19565.599999999999</v>
      </c>
      <c r="D1928" s="66">
        <v>19717.8</v>
      </c>
      <c r="E1928" s="66">
        <v>19565.45</v>
      </c>
      <c r="F1928" s="67" t="s">
        <v>817</v>
      </c>
      <c r="G1928" s="68">
        <v>9.1000000000000004E-3</v>
      </c>
      <c r="H1928" s="64"/>
    </row>
    <row r="1929" spans="1:8" x14ac:dyDescent="0.25">
      <c r="A1929" s="65">
        <v>45210</v>
      </c>
      <c r="B1929" s="66">
        <v>19811.349999999999</v>
      </c>
      <c r="C1929" s="66">
        <v>19767</v>
      </c>
      <c r="D1929" s="66">
        <v>19839.2</v>
      </c>
      <c r="E1929" s="66">
        <v>19756.95</v>
      </c>
      <c r="F1929" s="67" t="s">
        <v>816</v>
      </c>
      <c r="G1929" s="68">
        <v>6.1999999999999998E-3</v>
      </c>
      <c r="H1929" s="64"/>
    </row>
    <row r="1930" spans="1:8" x14ac:dyDescent="0.25">
      <c r="A1930" s="65">
        <v>45211</v>
      </c>
      <c r="B1930" s="66">
        <v>19794</v>
      </c>
      <c r="C1930" s="66">
        <v>19822.7</v>
      </c>
      <c r="D1930" s="66">
        <v>19843.3</v>
      </c>
      <c r="E1930" s="66">
        <v>19772.650000000001</v>
      </c>
      <c r="F1930" s="67" t="s">
        <v>815</v>
      </c>
      <c r="G1930" s="68">
        <v>-8.9999999999999998E-4</v>
      </c>
      <c r="H1930" s="64"/>
    </row>
    <row r="1931" spans="1:8" x14ac:dyDescent="0.25">
      <c r="A1931" s="65">
        <v>45212</v>
      </c>
      <c r="B1931" s="66">
        <v>19751.05</v>
      </c>
      <c r="C1931" s="66">
        <v>19654.55</v>
      </c>
      <c r="D1931" s="66">
        <v>19805.400000000001</v>
      </c>
      <c r="E1931" s="66">
        <v>19635.3</v>
      </c>
      <c r="F1931" s="67" t="s">
        <v>814</v>
      </c>
      <c r="G1931" s="68">
        <v>-2.2000000000000001E-3</v>
      </c>
      <c r="H1931" s="64"/>
    </row>
    <row r="1932" spans="1:8" x14ac:dyDescent="0.25">
      <c r="A1932" s="65">
        <v>45215</v>
      </c>
      <c r="B1932" s="66">
        <v>19731.75</v>
      </c>
      <c r="C1932" s="66">
        <v>19737.25</v>
      </c>
      <c r="D1932" s="66">
        <v>19781.3</v>
      </c>
      <c r="E1932" s="66">
        <v>19691.849999999999</v>
      </c>
      <c r="F1932" s="67" t="s">
        <v>813</v>
      </c>
      <c r="G1932" s="68">
        <v>-1E-3</v>
      </c>
      <c r="H1932" s="64"/>
    </row>
    <row r="1933" spans="1:8" x14ac:dyDescent="0.25">
      <c r="A1933" s="65">
        <v>45216</v>
      </c>
      <c r="B1933" s="66">
        <v>19811.5</v>
      </c>
      <c r="C1933" s="66">
        <v>19843.2</v>
      </c>
      <c r="D1933" s="66">
        <v>19849.75</v>
      </c>
      <c r="E1933" s="66">
        <v>19775.650000000001</v>
      </c>
      <c r="F1933" s="67" t="s">
        <v>812</v>
      </c>
      <c r="G1933" s="68">
        <v>4.0000000000000001E-3</v>
      </c>
      <c r="H1933" s="64"/>
    </row>
    <row r="1934" spans="1:8" x14ac:dyDescent="0.25">
      <c r="A1934" s="65">
        <v>45217</v>
      </c>
      <c r="B1934" s="66">
        <v>19671.099999999999</v>
      </c>
      <c r="C1934" s="66">
        <v>19820.45</v>
      </c>
      <c r="D1934" s="66">
        <v>19840.95</v>
      </c>
      <c r="E1934" s="66">
        <v>19659.95</v>
      </c>
      <c r="F1934" s="67" t="s">
        <v>811</v>
      </c>
      <c r="G1934" s="68">
        <v>-7.1000000000000004E-3</v>
      </c>
      <c r="H1934" s="64"/>
    </row>
    <row r="1935" spans="1:8" x14ac:dyDescent="0.25">
      <c r="A1935" s="65">
        <v>45218</v>
      </c>
      <c r="B1935" s="66">
        <v>19624.7</v>
      </c>
      <c r="C1935" s="66">
        <v>19545.2</v>
      </c>
      <c r="D1935" s="66">
        <v>19681.8</v>
      </c>
      <c r="E1935" s="66">
        <v>19512.349999999999</v>
      </c>
      <c r="F1935" s="67" t="s">
        <v>810</v>
      </c>
      <c r="G1935" s="68">
        <v>-2.3999999999999998E-3</v>
      </c>
      <c r="H1935" s="64"/>
    </row>
    <row r="1936" spans="1:8" x14ac:dyDescent="0.25">
      <c r="A1936" s="65">
        <v>45219</v>
      </c>
      <c r="B1936" s="66">
        <v>19542.650000000001</v>
      </c>
      <c r="C1936" s="66">
        <v>19542.150000000001</v>
      </c>
      <c r="D1936" s="66">
        <v>19593.8</v>
      </c>
      <c r="E1936" s="66">
        <v>19518.7</v>
      </c>
      <c r="F1936" s="67" t="s">
        <v>809</v>
      </c>
      <c r="G1936" s="68">
        <v>-4.1999999999999997E-3</v>
      </c>
      <c r="H1936" s="64"/>
    </row>
    <row r="1937" spans="1:8" x14ac:dyDescent="0.25">
      <c r="A1937" s="65">
        <v>45222</v>
      </c>
      <c r="B1937" s="66">
        <v>19281.75</v>
      </c>
      <c r="C1937" s="66">
        <v>19521.599999999999</v>
      </c>
      <c r="D1937" s="66">
        <v>19556.849999999999</v>
      </c>
      <c r="E1937" s="66">
        <v>19257.849999999999</v>
      </c>
      <c r="F1937" s="67" t="s">
        <v>808</v>
      </c>
      <c r="G1937" s="68">
        <v>-1.34E-2</v>
      </c>
      <c r="H1937" s="64"/>
    </row>
    <row r="1938" spans="1:8" x14ac:dyDescent="0.25">
      <c r="A1938" s="65">
        <v>45224</v>
      </c>
      <c r="B1938" s="66">
        <v>19122.150000000001</v>
      </c>
      <c r="C1938" s="66">
        <v>19286.45</v>
      </c>
      <c r="D1938" s="66">
        <v>19347.3</v>
      </c>
      <c r="E1938" s="66">
        <v>19074.150000000001</v>
      </c>
      <c r="F1938" s="67" t="s">
        <v>807</v>
      </c>
      <c r="G1938" s="68">
        <v>-8.3000000000000001E-3</v>
      </c>
      <c r="H1938" s="64"/>
    </row>
    <row r="1939" spans="1:8" x14ac:dyDescent="0.25">
      <c r="A1939" s="65">
        <v>45225</v>
      </c>
      <c r="B1939" s="66">
        <v>18857.25</v>
      </c>
      <c r="C1939" s="66">
        <v>19027.25</v>
      </c>
      <c r="D1939" s="66">
        <v>19041.7</v>
      </c>
      <c r="E1939" s="66">
        <v>18837.849999999999</v>
      </c>
      <c r="F1939" s="67" t="s">
        <v>806</v>
      </c>
      <c r="G1939" s="68">
        <v>-1.3899999999999999E-2</v>
      </c>
      <c r="H1939" s="64"/>
    </row>
    <row r="1940" spans="1:8" x14ac:dyDescent="0.25">
      <c r="A1940" s="65">
        <v>45226</v>
      </c>
      <c r="B1940" s="66">
        <v>19047.25</v>
      </c>
      <c r="C1940" s="66">
        <v>18928.75</v>
      </c>
      <c r="D1940" s="66">
        <v>19076.150000000001</v>
      </c>
      <c r="E1940" s="66">
        <v>18926.650000000001</v>
      </c>
      <c r="F1940" s="67" t="s">
        <v>805</v>
      </c>
      <c r="G1940" s="68">
        <v>1.01E-2</v>
      </c>
      <c r="H1940" s="64"/>
    </row>
    <row r="1941" spans="1:8" x14ac:dyDescent="0.25">
      <c r="A1941" s="65">
        <v>45229</v>
      </c>
      <c r="B1941" s="66">
        <v>19140.900000000001</v>
      </c>
      <c r="C1941" s="66">
        <v>19053.400000000001</v>
      </c>
      <c r="D1941" s="66">
        <v>19158.5</v>
      </c>
      <c r="E1941" s="66">
        <v>18940</v>
      </c>
      <c r="F1941" s="67" t="s">
        <v>804</v>
      </c>
      <c r="G1941" s="68">
        <v>4.8999999999999998E-3</v>
      </c>
      <c r="H1941" s="64"/>
    </row>
    <row r="1942" spans="1:8" x14ac:dyDescent="0.25">
      <c r="A1942" s="65">
        <v>45230</v>
      </c>
      <c r="B1942" s="66">
        <v>19079.599999999999</v>
      </c>
      <c r="C1942" s="66">
        <v>19232.95</v>
      </c>
      <c r="D1942" s="66">
        <v>19233.7</v>
      </c>
      <c r="E1942" s="66">
        <v>19056.45</v>
      </c>
      <c r="F1942" s="67" t="s">
        <v>803</v>
      </c>
      <c r="G1942" s="68">
        <v>-3.2000000000000002E-3</v>
      </c>
      <c r="H1942" s="64"/>
    </row>
    <row r="1943" spans="1:8" x14ac:dyDescent="0.25">
      <c r="A1943" s="65">
        <v>45231</v>
      </c>
      <c r="B1943" s="66">
        <v>18989.150000000001</v>
      </c>
      <c r="C1943" s="66">
        <v>19064.05</v>
      </c>
      <c r="D1943" s="66">
        <v>19096.05</v>
      </c>
      <c r="E1943" s="66">
        <v>18973.7</v>
      </c>
      <c r="F1943" s="67" t="s">
        <v>802</v>
      </c>
      <c r="G1943" s="68">
        <v>-4.7000000000000002E-3</v>
      </c>
      <c r="H1943" s="64"/>
    </row>
    <row r="1944" spans="1:8" x14ac:dyDescent="0.25">
      <c r="A1944" s="65">
        <v>45232</v>
      </c>
      <c r="B1944" s="66">
        <v>19133.25</v>
      </c>
      <c r="C1944" s="66">
        <v>19120</v>
      </c>
      <c r="D1944" s="66">
        <v>19175.25</v>
      </c>
      <c r="E1944" s="66">
        <v>19064.150000000001</v>
      </c>
      <c r="F1944" s="67" t="s">
        <v>801</v>
      </c>
      <c r="G1944" s="68">
        <v>7.6E-3</v>
      </c>
      <c r="H1944" s="64"/>
    </row>
    <row r="1945" spans="1:8" x14ac:dyDescent="0.25">
      <c r="A1945" s="65">
        <v>45233</v>
      </c>
      <c r="B1945" s="66">
        <v>19230.599999999999</v>
      </c>
      <c r="C1945" s="66">
        <v>19241</v>
      </c>
      <c r="D1945" s="66">
        <v>19276.25</v>
      </c>
      <c r="E1945" s="66">
        <v>19210.900000000001</v>
      </c>
      <c r="F1945" s="67" t="s">
        <v>800</v>
      </c>
      <c r="G1945" s="68">
        <v>5.1000000000000004E-3</v>
      </c>
      <c r="H1945" s="64"/>
    </row>
    <row r="1946" spans="1:8" x14ac:dyDescent="0.25">
      <c r="A1946" s="65">
        <v>45236</v>
      </c>
      <c r="B1946" s="66">
        <v>19411.75</v>
      </c>
      <c r="C1946" s="66">
        <v>19345.849999999999</v>
      </c>
      <c r="D1946" s="66">
        <v>19423</v>
      </c>
      <c r="E1946" s="66">
        <v>19309.7</v>
      </c>
      <c r="F1946" s="67" t="s">
        <v>799</v>
      </c>
      <c r="G1946" s="68">
        <v>9.4000000000000004E-3</v>
      </c>
      <c r="H1946" s="64"/>
    </row>
    <row r="1947" spans="1:8" x14ac:dyDescent="0.25">
      <c r="A1947" s="65">
        <v>45237</v>
      </c>
      <c r="B1947" s="66">
        <v>19406.7</v>
      </c>
      <c r="C1947" s="66">
        <v>19404.05</v>
      </c>
      <c r="D1947" s="66">
        <v>19423.5</v>
      </c>
      <c r="E1947" s="66">
        <v>19329.099999999999</v>
      </c>
      <c r="F1947" s="67" t="s">
        <v>798</v>
      </c>
      <c r="G1947" s="68">
        <v>-2.9999999999999997E-4</v>
      </c>
      <c r="H1947" s="64"/>
    </row>
    <row r="1948" spans="1:8" x14ac:dyDescent="0.25">
      <c r="A1948" s="65">
        <v>45238</v>
      </c>
      <c r="B1948" s="66">
        <v>19443.5</v>
      </c>
      <c r="C1948" s="66">
        <v>19449.599999999999</v>
      </c>
      <c r="D1948" s="66">
        <v>19464.400000000001</v>
      </c>
      <c r="E1948" s="66">
        <v>19401.5</v>
      </c>
      <c r="F1948" s="67" t="s">
        <v>789</v>
      </c>
      <c r="G1948" s="68">
        <v>1.9E-3</v>
      </c>
      <c r="H1948" s="64"/>
    </row>
    <row r="1949" spans="1:8" x14ac:dyDescent="0.25">
      <c r="A1949" s="65">
        <v>45239</v>
      </c>
      <c r="B1949" s="66">
        <v>19395.3</v>
      </c>
      <c r="C1949" s="66">
        <v>19457.400000000001</v>
      </c>
      <c r="D1949" s="66">
        <v>19463.900000000001</v>
      </c>
      <c r="E1949" s="66">
        <v>19378.349999999999</v>
      </c>
      <c r="F1949" s="67" t="s">
        <v>797</v>
      </c>
      <c r="G1949" s="68">
        <v>-2.5000000000000001E-3</v>
      </c>
      <c r="H1949" s="64"/>
    </row>
    <row r="1950" spans="1:8" x14ac:dyDescent="0.25">
      <c r="A1950" s="65">
        <v>45240</v>
      </c>
      <c r="B1950" s="66">
        <v>19425.349999999999</v>
      </c>
      <c r="C1950" s="66">
        <v>19351.849999999999</v>
      </c>
      <c r="D1950" s="66">
        <v>19451.3</v>
      </c>
      <c r="E1950" s="66">
        <v>19329.45</v>
      </c>
      <c r="F1950" s="67" t="s">
        <v>796</v>
      </c>
      <c r="G1950" s="68">
        <v>1.5E-3</v>
      </c>
      <c r="H1950" s="64"/>
    </row>
    <row r="1951" spans="1:8" x14ac:dyDescent="0.25">
      <c r="A1951" s="65">
        <v>45242</v>
      </c>
      <c r="B1951" s="66">
        <v>19525.55</v>
      </c>
      <c r="C1951" s="66">
        <v>19547.25</v>
      </c>
      <c r="D1951" s="66">
        <v>19547.25</v>
      </c>
      <c r="E1951" s="66">
        <v>19510.25</v>
      </c>
      <c r="F1951" s="67" t="s">
        <v>795</v>
      </c>
      <c r="G1951" s="68">
        <v>5.1999999999999998E-3</v>
      </c>
      <c r="H1951" s="64"/>
    </row>
    <row r="1952" spans="1:8" x14ac:dyDescent="0.25">
      <c r="A1952" s="65">
        <v>45243</v>
      </c>
      <c r="B1952" s="66">
        <v>19443.55</v>
      </c>
      <c r="C1952" s="66">
        <v>19486.75</v>
      </c>
      <c r="D1952" s="66">
        <v>19494.400000000001</v>
      </c>
      <c r="E1952" s="66">
        <v>19414.75</v>
      </c>
      <c r="F1952" s="67" t="s">
        <v>794</v>
      </c>
      <c r="G1952" s="68">
        <v>-4.1999999999999997E-3</v>
      </c>
      <c r="H1952" s="64"/>
    </row>
    <row r="1953" spans="1:8" x14ac:dyDescent="0.25">
      <c r="A1953" s="65">
        <v>45245</v>
      </c>
      <c r="B1953" s="66">
        <v>19675.45</v>
      </c>
      <c r="C1953" s="66">
        <v>19651.400000000001</v>
      </c>
      <c r="D1953" s="66">
        <v>19693.2</v>
      </c>
      <c r="E1953" s="66">
        <v>19579.650000000001</v>
      </c>
      <c r="F1953" s="67" t="s">
        <v>793</v>
      </c>
      <c r="G1953" s="68">
        <v>1.1900000000000001E-2</v>
      </c>
      <c r="H1953" s="64"/>
    </row>
    <row r="1954" spans="1:8" x14ac:dyDescent="0.25">
      <c r="A1954" s="65">
        <v>45246</v>
      </c>
      <c r="B1954" s="66">
        <v>19765.2</v>
      </c>
      <c r="C1954" s="66">
        <v>19674.7</v>
      </c>
      <c r="D1954" s="66">
        <v>19875.25</v>
      </c>
      <c r="E1954" s="66">
        <v>19627</v>
      </c>
      <c r="F1954" s="67" t="s">
        <v>792</v>
      </c>
      <c r="G1954" s="68">
        <v>4.5999999999999999E-3</v>
      </c>
      <c r="H1954" s="64"/>
    </row>
    <row r="1955" spans="1:8" x14ac:dyDescent="0.25">
      <c r="A1955" s="65">
        <v>45247</v>
      </c>
      <c r="B1955" s="66">
        <v>19731.8</v>
      </c>
      <c r="C1955" s="66">
        <v>19674.75</v>
      </c>
      <c r="D1955" s="66">
        <v>19806</v>
      </c>
      <c r="E1955" s="66">
        <v>19667.45</v>
      </c>
      <c r="F1955" s="67" t="s">
        <v>791</v>
      </c>
      <c r="G1955" s="68">
        <v>-1.6999999999999999E-3</v>
      </c>
      <c r="H1955" s="64"/>
    </row>
    <row r="1956" spans="1:8" x14ac:dyDescent="0.25">
      <c r="A1956" s="65">
        <v>45250</v>
      </c>
      <c r="B1956" s="66">
        <v>19694</v>
      </c>
      <c r="C1956" s="66">
        <v>19731.150000000001</v>
      </c>
      <c r="D1956" s="66">
        <v>19756.45</v>
      </c>
      <c r="E1956" s="66">
        <v>19670.5</v>
      </c>
      <c r="F1956" s="67" t="s">
        <v>790</v>
      </c>
      <c r="G1956" s="68">
        <v>-1.9E-3</v>
      </c>
      <c r="H1956" s="64"/>
    </row>
    <row r="1957" spans="1:8" x14ac:dyDescent="0.25">
      <c r="A1957" s="65">
        <v>45251</v>
      </c>
      <c r="B1957" s="66">
        <v>19783.400000000001</v>
      </c>
      <c r="C1957" s="66">
        <v>19770.900000000001</v>
      </c>
      <c r="D1957" s="66">
        <v>19829.099999999999</v>
      </c>
      <c r="E1957" s="66">
        <v>19754.05</v>
      </c>
      <c r="F1957" s="67" t="s">
        <v>789</v>
      </c>
      <c r="G1957" s="68">
        <v>4.4999999999999997E-3</v>
      </c>
      <c r="H1957" s="64"/>
    </row>
    <row r="1958" spans="1:8" x14ac:dyDescent="0.25">
      <c r="A1958" s="65">
        <v>45252</v>
      </c>
      <c r="B1958" s="66">
        <v>19811.849999999999</v>
      </c>
      <c r="C1958" s="66">
        <v>19784</v>
      </c>
      <c r="D1958" s="66">
        <v>19825.55</v>
      </c>
      <c r="E1958" s="66">
        <v>19703.849999999999</v>
      </c>
      <c r="F1958" s="67" t="s">
        <v>788</v>
      </c>
      <c r="G1958" s="68">
        <v>1.4E-3</v>
      </c>
      <c r="H1958" s="64"/>
    </row>
    <row r="1959" spans="1:8" x14ac:dyDescent="0.25">
      <c r="A1959" s="65">
        <v>45253</v>
      </c>
      <c r="B1959" s="66">
        <v>19802</v>
      </c>
      <c r="C1959" s="66">
        <v>19828.45</v>
      </c>
      <c r="D1959" s="66">
        <v>19875.150000000001</v>
      </c>
      <c r="E1959" s="66">
        <v>19786.75</v>
      </c>
      <c r="F1959" s="67" t="s">
        <v>787</v>
      </c>
      <c r="G1959" s="68">
        <v>-5.0000000000000001E-4</v>
      </c>
      <c r="H1959" s="64"/>
    </row>
    <row r="1960" spans="1:8" x14ac:dyDescent="0.25">
      <c r="A1960" s="65">
        <v>45254</v>
      </c>
      <c r="B1960" s="66">
        <v>19794.7</v>
      </c>
      <c r="C1960" s="66">
        <v>19809.599999999999</v>
      </c>
      <c r="D1960" s="66">
        <v>19832.849999999999</v>
      </c>
      <c r="E1960" s="66">
        <v>19768.849999999999</v>
      </c>
      <c r="F1960" s="67" t="s">
        <v>786</v>
      </c>
      <c r="G1960" s="68">
        <v>-4.0000000000000002E-4</v>
      </c>
      <c r="H1960" s="64"/>
    </row>
    <row r="1961" spans="1:8" x14ac:dyDescent="0.25">
      <c r="A1961" s="65">
        <v>45258</v>
      </c>
      <c r="B1961" s="66">
        <v>19889.7</v>
      </c>
      <c r="C1961" s="66">
        <v>19844.650000000001</v>
      </c>
      <c r="D1961" s="66">
        <v>19916.849999999999</v>
      </c>
      <c r="E1961" s="66">
        <v>19800</v>
      </c>
      <c r="F1961" s="67" t="s">
        <v>785</v>
      </c>
      <c r="G1961" s="68">
        <v>4.7999999999999996E-3</v>
      </c>
      <c r="H1961" s="64"/>
    </row>
    <row r="1962" spans="1:8" x14ac:dyDescent="0.25">
      <c r="A1962" s="65">
        <v>45259</v>
      </c>
      <c r="B1962" s="66">
        <v>20096.599999999999</v>
      </c>
      <c r="C1962" s="66">
        <v>19976.55</v>
      </c>
      <c r="D1962" s="66">
        <v>20104.650000000001</v>
      </c>
      <c r="E1962" s="66">
        <v>19956.3</v>
      </c>
      <c r="F1962" s="67" t="s">
        <v>784</v>
      </c>
      <c r="G1962" s="68">
        <v>1.04E-2</v>
      </c>
      <c r="H1962" s="64"/>
    </row>
    <row r="1963" spans="1:8" x14ac:dyDescent="0.25">
      <c r="A1963" s="65">
        <v>45260</v>
      </c>
      <c r="B1963" s="66">
        <v>20133.150000000001</v>
      </c>
      <c r="C1963" s="66">
        <v>20108.5</v>
      </c>
      <c r="D1963" s="66">
        <v>20158.7</v>
      </c>
      <c r="E1963" s="66">
        <v>20015.849999999999</v>
      </c>
      <c r="F1963" s="67" t="s">
        <v>783</v>
      </c>
      <c r="G1963" s="68">
        <v>1.8E-3</v>
      </c>
      <c r="H1963" s="64"/>
    </row>
    <row r="1964" spans="1:8" x14ac:dyDescent="0.25">
      <c r="A1964" s="65">
        <v>45261</v>
      </c>
      <c r="B1964" s="66">
        <v>20267.900000000001</v>
      </c>
      <c r="C1964" s="66">
        <v>20194.099999999999</v>
      </c>
      <c r="D1964" s="66">
        <v>20291.55</v>
      </c>
      <c r="E1964" s="66">
        <v>20183.7</v>
      </c>
      <c r="F1964" s="67" t="s">
        <v>782</v>
      </c>
      <c r="G1964" s="68">
        <v>6.7000000000000002E-3</v>
      </c>
      <c r="H1964" s="64"/>
    </row>
    <row r="1965" spans="1:8" x14ac:dyDescent="0.25">
      <c r="A1965" s="65">
        <v>45264</v>
      </c>
      <c r="B1965" s="66">
        <v>20686.8</v>
      </c>
      <c r="C1965" s="66">
        <v>20601.95</v>
      </c>
      <c r="D1965" s="66">
        <v>20702.650000000001</v>
      </c>
      <c r="E1965" s="66">
        <v>20507.75</v>
      </c>
      <c r="F1965" s="67" t="s">
        <v>781</v>
      </c>
      <c r="G1965" s="68">
        <v>2.07E-2</v>
      </c>
      <c r="H1965" s="64"/>
    </row>
    <row r="1966" spans="1:8" x14ac:dyDescent="0.25">
      <c r="A1966" s="65">
        <v>45265</v>
      </c>
      <c r="B1966" s="66">
        <v>20855.099999999999</v>
      </c>
      <c r="C1966" s="66">
        <v>20808.900000000001</v>
      </c>
      <c r="D1966" s="66">
        <v>20864.05</v>
      </c>
      <c r="E1966" s="66">
        <v>20711.150000000001</v>
      </c>
      <c r="F1966" s="67" t="s">
        <v>780</v>
      </c>
      <c r="G1966" s="68">
        <v>8.0999999999999996E-3</v>
      </c>
      <c r="H1966" s="64"/>
    </row>
    <row r="1967" spans="1:8" x14ac:dyDescent="0.25">
      <c r="A1967" s="65">
        <v>45266</v>
      </c>
      <c r="B1967" s="66">
        <v>20937.7</v>
      </c>
      <c r="C1967" s="66">
        <v>20950.75</v>
      </c>
      <c r="D1967" s="66">
        <v>20961.95</v>
      </c>
      <c r="E1967" s="66">
        <v>20852.150000000001</v>
      </c>
      <c r="F1967" s="67" t="s">
        <v>779</v>
      </c>
      <c r="G1967" s="68">
        <v>4.0000000000000001E-3</v>
      </c>
      <c r="H1967" s="64"/>
    </row>
    <row r="1968" spans="1:8" x14ac:dyDescent="0.25">
      <c r="A1968" s="65">
        <v>45267</v>
      </c>
      <c r="B1968" s="66">
        <v>20901.150000000001</v>
      </c>
      <c r="C1968" s="66">
        <v>20932.400000000001</v>
      </c>
      <c r="D1968" s="66">
        <v>20941.25</v>
      </c>
      <c r="E1968" s="66">
        <v>20850.8</v>
      </c>
      <c r="F1968" s="67" t="s">
        <v>778</v>
      </c>
      <c r="G1968" s="68">
        <v>-1.6999999999999999E-3</v>
      </c>
      <c r="H1968" s="64"/>
    </row>
    <row r="1969" spans="1:8" x14ac:dyDescent="0.25">
      <c r="A1969" s="65">
        <v>45268</v>
      </c>
      <c r="B1969" s="66">
        <v>20969.400000000001</v>
      </c>
      <c r="C1969" s="66">
        <v>20934.099999999999</v>
      </c>
      <c r="D1969" s="66">
        <v>21006.1</v>
      </c>
      <c r="E1969" s="66">
        <v>20862.7</v>
      </c>
      <c r="F1969" s="67" t="s">
        <v>777</v>
      </c>
      <c r="G1969" s="68">
        <v>3.3E-3</v>
      </c>
      <c r="H1969" s="64"/>
    </row>
    <row r="1970" spans="1:8" x14ac:dyDescent="0.25">
      <c r="A1970" s="65">
        <v>45271</v>
      </c>
      <c r="B1970" s="66">
        <v>20997.1</v>
      </c>
      <c r="C1970" s="66">
        <v>20965.3</v>
      </c>
      <c r="D1970" s="66">
        <v>21026.1</v>
      </c>
      <c r="E1970" s="66">
        <v>20923.7</v>
      </c>
      <c r="F1970" s="67" t="s">
        <v>776</v>
      </c>
      <c r="G1970" s="68">
        <v>1.2999999999999999E-3</v>
      </c>
      <c r="H1970" s="64"/>
    </row>
    <row r="1971" spans="1:8" x14ac:dyDescent="0.25">
      <c r="A1971" s="65">
        <v>45272</v>
      </c>
      <c r="B1971" s="66">
        <v>20906.400000000001</v>
      </c>
      <c r="C1971" s="66">
        <v>21018.55</v>
      </c>
      <c r="D1971" s="66">
        <v>21037.9</v>
      </c>
      <c r="E1971" s="66">
        <v>20867.150000000001</v>
      </c>
      <c r="F1971" s="67" t="s">
        <v>775</v>
      </c>
      <c r="G1971" s="68">
        <v>-4.3E-3</v>
      </c>
      <c r="H1971" s="64"/>
    </row>
    <row r="1972" spans="1:8" x14ac:dyDescent="0.25">
      <c r="A1972" s="65">
        <v>45273</v>
      </c>
      <c r="B1972" s="66">
        <v>20926.349999999999</v>
      </c>
      <c r="C1972" s="66">
        <v>20929.75</v>
      </c>
      <c r="D1972" s="66">
        <v>20950</v>
      </c>
      <c r="E1972" s="66">
        <v>20769.5</v>
      </c>
      <c r="F1972" s="67" t="s">
        <v>774</v>
      </c>
      <c r="G1972" s="68">
        <v>1E-3</v>
      </c>
      <c r="H1972" s="64"/>
    </row>
    <row r="1973" spans="1:8" x14ac:dyDescent="0.25">
      <c r="A1973" s="65">
        <v>45274</v>
      </c>
      <c r="B1973" s="66">
        <v>21182.7</v>
      </c>
      <c r="C1973" s="66">
        <v>21110.400000000001</v>
      </c>
      <c r="D1973" s="66">
        <v>21210.9</v>
      </c>
      <c r="E1973" s="66">
        <v>21074.45</v>
      </c>
      <c r="F1973" s="67" t="s">
        <v>773</v>
      </c>
      <c r="G1973" s="68">
        <v>1.23E-2</v>
      </c>
      <c r="H1973" s="64"/>
    </row>
    <row r="1974" spans="1:8" x14ac:dyDescent="0.25">
      <c r="A1974" s="65">
        <v>45275</v>
      </c>
      <c r="B1974" s="66">
        <v>21456.65</v>
      </c>
      <c r="C1974" s="66">
        <v>21287.45</v>
      </c>
      <c r="D1974" s="66">
        <v>21492.3</v>
      </c>
      <c r="E1974" s="66">
        <v>21235.3</v>
      </c>
      <c r="F1974" s="67" t="s">
        <v>772</v>
      </c>
      <c r="G1974" s="68">
        <v>1.29E-2</v>
      </c>
      <c r="H1974" s="64"/>
    </row>
    <row r="1975" spans="1:8" x14ac:dyDescent="0.25">
      <c r="A1975" s="65">
        <v>45278</v>
      </c>
      <c r="B1975" s="66">
        <v>21418.65</v>
      </c>
      <c r="C1975" s="66">
        <v>21434.799999999999</v>
      </c>
      <c r="D1975" s="66">
        <v>21482.799999999999</v>
      </c>
      <c r="E1975" s="66">
        <v>21365.35</v>
      </c>
      <c r="F1975" s="67" t="s">
        <v>771</v>
      </c>
      <c r="G1975" s="68">
        <v>-1.8E-3</v>
      </c>
      <c r="H1975" s="64"/>
    </row>
    <row r="1976" spans="1:8" x14ac:dyDescent="0.25">
      <c r="A1976" s="65">
        <v>45279</v>
      </c>
      <c r="B1976" s="66">
        <v>21453.1</v>
      </c>
      <c r="C1976" s="66">
        <v>21477.65</v>
      </c>
      <c r="D1976" s="66">
        <v>21505.05</v>
      </c>
      <c r="E1976" s="66">
        <v>21337.75</v>
      </c>
      <c r="F1976" s="67" t="s">
        <v>770</v>
      </c>
      <c r="G1976" s="68">
        <v>1.6000000000000001E-3</v>
      </c>
      <c r="H1976" s="64"/>
    </row>
    <row r="1977" spans="1:8" x14ac:dyDescent="0.25">
      <c r="A1977" s="65">
        <v>45280</v>
      </c>
      <c r="B1977" s="66">
        <v>21150.15</v>
      </c>
      <c r="C1977" s="66">
        <v>21543.5</v>
      </c>
      <c r="D1977" s="66">
        <v>21593</v>
      </c>
      <c r="E1977" s="66">
        <v>21087.35</v>
      </c>
      <c r="F1977" s="67" t="s">
        <v>769</v>
      </c>
      <c r="G1977" s="68">
        <v>-1.41E-2</v>
      </c>
      <c r="H1977" s="64"/>
    </row>
    <row r="1978" spans="1:8" x14ac:dyDescent="0.25">
      <c r="A1978" s="65">
        <v>45281</v>
      </c>
      <c r="B1978" s="66">
        <v>21255.05</v>
      </c>
      <c r="C1978" s="66">
        <v>21033.95</v>
      </c>
      <c r="D1978" s="66">
        <v>21288.35</v>
      </c>
      <c r="E1978" s="66">
        <v>20976.799999999999</v>
      </c>
      <c r="F1978" s="67" t="s">
        <v>768</v>
      </c>
      <c r="G1978" s="68">
        <v>5.0000000000000001E-3</v>
      </c>
      <c r="H1978" s="64"/>
    </row>
    <row r="1979" spans="1:8" x14ac:dyDescent="0.25">
      <c r="A1979" s="65">
        <v>45282</v>
      </c>
      <c r="B1979" s="66">
        <v>21349.4</v>
      </c>
      <c r="C1979" s="66">
        <v>21295.85</v>
      </c>
      <c r="D1979" s="66">
        <v>21390.5</v>
      </c>
      <c r="E1979" s="66">
        <v>21232.45</v>
      </c>
      <c r="F1979" s="67" t="s">
        <v>767</v>
      </c>
      <c r="G1979" s="68">
        <v>4.4000000000000003E-3</v>
      </c>
      <c r="H1979" s="64"/>
    </row>
    <row r="1980" spans="1:8" x14ac:dyDescent="0.25">
      <c r="A1980" s="65">
        <v>45286</v>
      </c>
      <c r="B1980" s="66">
        <v>21441.35</v>
      </c>
      <c r="C1980" s="66">
        <v>21365.200000000001</v>
      </c>
      <c r="D1980" s="66">
        <v>21477.15</v>
      </c>
      <c r="E1980" s="66">
        <v>21329.45</v>
      </c>
      <c r="F1980" s="67" t="s">
        <v>766</v>
      </c>
      <c r="G1980" s="68">
        <v>4.3E-3</v>
      </c>
      <c r="H1980" s="64"/>
    </row>
    <row r="1981" spans="1:8" x14ac:dyDescent="0.25">
      <c r="A1981" s="65">
        <v>45287</v>
      </c>
      <c r="B1981" s="66">
        <v>21654.75</v>
      </c>
      <c r="C1981" s="66">
        <v>21497.65</v>
      </c>
      <c r="D1981" s="66">
        <v>21675.75</v>
      </c>
      <c r="E1981" s="66">
        <v>21495.8</v>
      </c>
      <c r="F1981" s="67" t="s">
        <v>765</v>
      </c>
      <c r="G1981" s="68">
        <v>0.01</v>
      </c>
      <c r="H1981" s="64"/>
    </row>
    <row r="1982" spans="1:8" x14ac:dyDescent="0.25">
      <c r="A1982" s="65">
        <v>45288</v>
      </c>
      <c r="B1982" s="66">
        <v>21778.7</v>
      </c>
      <c r="C1982" s="66">
        <v>21715</v>
      </c>
      <c r="D1982" s="66">
        <v>21801.45</v>
      </c>
      <c r="E1982" s="66">
        <v>21678</v>
      </c>
      <c r="F1982" s="67" t="s">
        <v>764</v>
      </c>
      <c r="G1982" s="68">
        <v>5.7000000000000002E-3</v>
      </c>
      <c r="H1982" s="64"/>
    </row>
    <row r="1983" spans="1:8" x14ac:dyDescent="0.25">
      <c r="A1983" s="65">
        <v>45289</v>
      </c>
      <c r="B1983" s="66">
        <v>21731.4</v>
      </c>
      <c r="C1983" s="66">
        <v>21737.65</v>
      </c>
      <c r="D1983" s="66">
        <v>21770.3</v>
      </c>
      <c r="E1983" s="66">
        <v>21676.9</v>
      </c>
      <c r="F1983" s="67" t="s">
        <v>763</v>
      </c>
      <c r="G1983" s="68">
        <v>-2.2000000000000001E-3</v>
      </c>
      <c r="H1983" s="64"/>
    </row>
    <row r="1984" spans="1:8" x14ac:dyDescent="0.25">
      <c r="A1984" s="65">
        <v>45292</v>
      </c>
      <c r="B1984" s="66">
        <v>21741.9</v>
      </c>
      <c r="C1984" s="66">
        <v>21727.75</v>
      </c>
      <c r="D1984" s="66">
        <v>21834.35</v>
      </c>
      <c r="E1984" s="66">
        <v>21680.85</v>
      </c>
      <c r="F1984" s="67" t="s">
        <v>762</v>
      </c>
      <c r="G1984" s="68">
        <v>5.0000000000000001E-4</v>
      </c>
      <c r="H1984" s="64"/>
    </row>
    <row r="1985" spans="1:8" x14ac:dyDescent="0.25">
      <c r="A1985" s="65">
        <v>45293</v>
      </c>
      <c r="B1985" s="66">
        <v>21665.8</v>
      </c>
      <c r="C1985" s="66">
        <v>21751.35</v>
      </c>
      <c r="D1985" s="66">
        <v>21755.599999999999</v>
      </c>
      <c r="E1985" s="66">
        <v>21555.65</v>
      </c>
      <c r="F1985" s="67" t="s">
        <v>761</v>
      </c>
      <c r="G1985" s="68">
        <v>-3.5000000000000001E-3</v>
      </c>
      <c r="H1985" s="64"/>
    </row>
    <row r="1986" spans="1:8" x14ac:dyDescent="0.25">
      <c r="A1986" s="65">
        <v>45294</v>
      </c>
      <c r="B1986" s="66">
        <v>21517.35</v>
      </c>
      <c r="C1986" s="66">
        <v>21661.1</v>
      </c>
      <c r="D1986" s="66">
        <v>21677</v>
      </c>
      <c r="E1986" s="66">
        <v>21500.35</v>
      </c>
      <c r="F1986" s="67" t="s">
        <v>760</v>
      </c>
      <c r="G1986" s="68">
        <v>-6.8999999999999999E-3</v>
      </c>
      <c r="H1986" s="64"/>
    </row>
    <row r="1987" spans="1:8" x14ac:dyDescent="0.25">
      <c r="A1987" s="65">
        <v>45295</v>
      </c>
      <c r="B1987" s="66">
        <v>21658.6</v>
      </c>
      <c r="C1987" s="66">
        <v>21605.8</v>
      </c>
      <c r="D1987" s="66">
        <v>21685.65</v>
      </c>
      <c r="E1987" s="66">
        <v>21564.55</v>
      </c>
      <c r="F1987" s="67" t="s">
        <v>759</v>
      </c>
      <c r="G1987" s="68">
        <v>6.6E-3</v>
      </c>
      <c r="H1987" s="64"/>
    </row>
    <row r="1988" spans="1:8" x14ac:dyDescent="0.25">
      <c r="A1988" s="65">
        <v>45296</v>
      </c>
      <c r="B1988" s="66">
        <v>21710.799999999999</v>
      </c>
      <c r="C1988" s="66">
        <v>21705.75</v>
      </c>
      <c r="D1988" s="66">
        <v>21749.599999999999</v>
      </c>
      <c r="E1988" s="66">
        <v>21629.200000000001</v>
      </c>
      <c r="F1988" s="67" t="s">
        <v>758</v>
      </c>
      <c r="G1988" s="68">
        <v>2.3999999999999998E-3</v>
      </c>
      <c r="H1988" s="64"/>
    </row>
    <row r="1989" spans="1:8" x14ac:dyDescent="0.25">
      <c r="A1989" s="65">
        <v>45299</v>
      </c>
      <c r="B1989" s="66">
        <v>21513</v>
      </c>
      <c r="C1989" s="66">
        <v>21747.599999999999</v>
      </c>
      <c r="D1989" s="66">
        <v>21763.95</v>
      </c>
      <c r="E1989" s="66">
        <v>21492.9</v>
      </c>
      <c r="F1989" s="67" t="s">
        <v>757</v>
      </c>
      <c r="G1989" s="68">
        <v>-9.1000000000000004E-3</v>
      </c>
      <c r="H1989" s="64"/>
    </row>
    <row r="1990" spans="1:8" x14ac:dyDescent="0.25">
      <c r="A1990" s="65">
        <v>45300</v>
      </c>
      <c r="B1990" s="66">
        <v>21544.85</v>
      </c>
      <c r="C1990" s="66">
        <v>21653.599999999999</v>
      </c>
      <c r="D1990" s="66">
        <v>21724.45</v>
      </c>
      <c r="E1990" s="66">
        <v>21517.85</v>
      </c>
      <c r="F1990" s="67" t="s">
        <v>756</v>
      </c>
      <c r="G1990" s="68">
        <v>1.5E-3</v>
      </c>
      <c r="H1990" s="64"/>
    </row>
    <row r="1991" spans="1:8" x14ac:dyDescent="0.25">
      <c r="A1991" s="65">
        <v>45301</v>
      </c>
      <c r="B1991" s="66">
        <v>21618.7</v>
      </c>
      <c r="C1991" s="66">
        <v>21529.3</v>
      </c>
      <c r="D1991" s="66">
        <v>21641.85</v>
      </c>
      <c r="E1991" s="66">
        <v>21448.65</v>
      </c>
      <c r="F1991" s="67" t="s">
        <v>755</v>
      </c>
      <c r="G1991" s="68">
        <v>3.3999999999999998E-3</v>
      </c>
      <c r="H1991" s="64"/>
    </row>
    <row r="1992" spans="1:8" x14ac:dyDescent="0.25">
      <c r="A1992" s="65">
        <v>45302</v>
      </c>
      <c r="B1992" s="66">
        <v>21647.200000000001</v>
      </c>
      <c r="C1992" s="66">
        <v>21688</v>
      </c>
      <c r="D1992" s="66">
        <v>21726.5</v>
      </c>
      <c r="E1992" s="66">
        <v>21593.75</v>
      </c>
      <c r="F1992" s="67" t="s">
        <v>754</v>
      </c>
      <c r="G1992" s="68">
        <v>1.2999999999999999E-3</v>
      </c>
      <c r="H1992" s="64"/>
    </row>
    <row r="1993" spans="1:8" x14ac:dyDescent="0.25">
      <c r="A1993" s="65">
        <v>45303</v>
      </c>
      <c r="B1993" s="66">
        <v>21894.55</v>
      </c>
      <c r="C1993" s="66">
        <v>21773.55</v>
      </c>
      <c r="D1993" s="66">
        <v>21928.25</v>
      </c>
      <c r="E1993" s="66">
        <v>21715.15</v>
      </c>
      <c r="F1993" s="67" t="s">
        <v>753</v>
      </c>
      <c r="G1993" s="68">
        <v>1.14E-2</v>
      </c>
      <c r="H1993" s="64"/>
    </row>
    <row r="1994" spans="1:8" x14ac:dyDescent="0.25">
      <c r="A1994" s="65">
        <v>45306</v>
      </c>
      <c r="B1994" s="66">
        <v>22097.45</v>
      </c>
      <c r="C1994" s="66">
        <v>22053.15</v>
      </c>
      <c r="D1994" s="66">
        <v>22115.55</v>
      </c>
      <c r="E1994" s="66">
        <v>21963.55</v>
      </c>
      <c r="F1994" s="67" t="s">
        <v>752</v>
      </c>
      <c r="G1994" s="68">
        <v>9.2999999999999992E-3</v>
      </c>
      <c r="H1994" s="64"/>
    </row>
    <row r="1995" spans="1:8" x14ac:dyDescent="0.25">
      <c r="A1995" s="65">
        <v>45307</v>
      </c>
      <c r="B1995" s="66">
        <v>22032.3</v>
      </c>
      <c r="C1995" s="66">
        <v>22080.5</v>
      </c>
      <c r="D1995" s="66">
        <v>22124.15</v>
      </c>
      <c r="E1995" s="66">
        <v>21969.8</v>
      </c>
      <c r="F1995" s="67" t="s">
        <v>751</v>
      </c>
      <c r="G1995" s="68">
        <v>-2.8999999999999998E-3</v>
      </c>
      <c r="H1995" s="64"/>
    </row>
    <row r="1996" spans="1:8" x14ac:dyDescent="0.25">
      <c r="A1996" s="65">
        <v>45308</v>
      </c>
      <c r="B1996" s="66">
        <v>21571.95</v>
      </c>
      <c r="C1996" s="66">
        <v>21647.25</v>
      </c>
      <c r="D1996" s="66">
        <v>21851.5</v>
      </c>
      <c r="E1996" s="66">
        <v>21550.45</v>
      </c>
      <c r="F1996" s="67" t="s">
        <v>750</v>
      </c>
      <c r="G1996" s="68">
        <v>-2.0899999999999998E-2</v>
      </c>
      <c r="H1996" s="64"/>
    </row>
    <row r="1997" spans="1:8" x14ac:dyDescent="0.25">
      <c r="A1997" s="65">
        <v>45309</v>
      </c>
      <c r="B1997" s="66">
        <v>21462.25</v>
      </c>
      <c r="C1997" s="66">
        <v>21414.2</v>
      </c>
      <c r="D1997" s="66">
        <v>21539.4</v>
      </c>
      <c r="E1997" s="66">
        <v>21285.55</v>
      </c>
      <c r="F1997" s="67" t="s">
        <v>749</v>
      </c>
      <c r="G1997" s="68">
        <v>-5.1000000000000004E-3</v>
      </c>
      <c r="H1997" s="64"/>
    </row>
    <row r="1998" spans="1:8" x14ac:dyDescent="0.25">
      <c r="A1998" s="65">
        <v>45310</v>
      </c>
      <c r="B1998" s="66">
        <v>21622.400000000001</v>
      </c>
      <c r="C1998" s="66">
        <v>21615.200000000001</v>
      </c>
      <c r="D1998" s="66">
        <v>21670.6</v>
      </c>
      <c r="E1998" s="66">
        <v>21575</v>
      </c>
      <c r="F1998" s="67" t="s">
        <v>580</v>
      </c>
      <c r="G1998" s="68">
        <v>7.4999999999999997E-3</v>
      </c>
      <c r="H1998" s="64"/>
    </row>
    <row r="1999" spans="1:8" x14ac:dyDescent="0.25">
      <c r="A1999" s="65">
        <v>45311</v>
      </c>
      <c r="B1999" s="66">
        <v>21571.8</v>
      </c>
      <c r="C1999" s="66">
        <v>21706.15</v>
      </c>
      <c r="D1999" s="66">
        <v>21720.3</v>
      </c>
      <c r="E1999" s="66">
        <v>21541.8</v>
      </c>
      <c r="F1999" s="67"/>
      <c r="G1999" s="68">
        <v>-2.3E-3</v>
      </c>
      <c r="H1999" s="64"/>
    </row>
    <row r="2000" spans="1:8" x14ac:dyDescent="0.25">
      <c r="A2000" s="65">
        <v>45314</v>
      </c>
      <c r="B2000" s="66">
        <v>21238.799999999999</v>
      </c>
      <c r="C2000" s="66">
        <v>21716.7</v>
      </c>
      <c r="D2000" s="66">
        <v>21750.25</v>
      </c>
      <c r="E2000" s="66">
        <v>21192.6</v>
      </c>
      <c r="F2000" s="67" t="s">
        <v>748</v>
      </c>
      <c r="G2000" s="68">
        <v>-1.54E-2</v>
      </c>
      <c r="H2000" s="64"/>
    </row>
    <row r="2001" spans="1:8" x14ac:dyDescent="0.25">
      <c r="A2001" s="65">
        <v>45315</v>
      </c>
      <c r="B2001" s="66">
        <v>21453.95</v>
      </c>
      <c r="C2001" s="66">
        <v>21185.25</v>
      </c>
      <c r="D2001" s="66">
        <v>21482.35</v>
      </c>
      <c r="E2001" s="66">
        <v>21137.200000000001</v>
      </c>
      <c r="F2001" s="67" t="s">
        <v>747</v>
      </c>
      <c r="G2001" s="68">
        <v>1.01E-2</v>
      </c>
      <c r="H2001" s="64"/>
    </row>
    <row r="2002" spans="1:8" x14ac:dyDescent="0.25">
      <c r="A2002" s="65">
        <v>45316</v>
      </c>
      <c r="B2002" s="66">
        <v>21352.6</v>
      </c>
      <c r="C2002" s="66">
        <v>21454.6</v>
      </c>
      <c r="D2002" s="66">
        <v>21459</v>
      </c>
      <c r="E2002" s="66">
        <v>21247.05</v>
      </c>
      <c r="F2002" s="67" t="s">
        <v>746</v>
      </c>
      <c r="G2002" s="68">
        <v>-4.7000000000000002E-3</v>
      </c>
      <c r="H2002" s="64"/>
    </row>
    <row r="2003" spans="1:8" x14ac:dyDescent="0.25">
      <c r="A2003" s="65">
        <v>45320</v>
      </c>
      <c r="B2003" s="66">
        <v>21737.599999999999</v>
      </c>
      <c r="C2003" s="66">
        <v>21433.1</v>
      </c>
      <c r="D2003" s="66">
        <v>21763.25</v>
      </c>
      <c r="E2003" s="66">
        <v>21429.599999999999</v>
      </c>
      <c r="F2003" s="67" t="s">
        <v>745</v>
      </c>
      <c r="G2003" s="68">
        <v>1.7999999999999999E-2</v>
      </c>
      <c r="H2003" s="64"/>
    </row>
    <row r="2004" spans="1:8" x14ac:dyDescent="0.25">
      <c r="A2004" s="65">
        <v>45321</v>
      </c>
      <c r="B2004" s="66">
        <v>21522.1</v>
      </c>
      <c r="C2004" s="66">
        <v>21775.75</v>
      </c>
      <c r="D2004" s="66">
        <v>21813.05</v>
      </c>
      <c r="E2004" s="66">
        <v>21501.8</v>
      </c>
      <c r="F2004" s="67" t="s">
        <v>744</v>
      </c>
      <c r="G2004" s="68">
        <v>-9.9000000000000008E-3</v>
      </c>
      <c r="H2004" s="64"/>
    </row>
    <row r="2005" spans="1:8" x14ac:dyDescent="0.25">
      <c r="A2005" s="65">
        <v>45322</v>
      </c>
      <c r="B2005" s="66">
        <v>21725.7</v>
      </c>
      <c r="C2005" s="66">
        <v>21487.25</v>
      </c>
      <c r="D2005" s="66">
        <v>21741.35</v>
      </c>
      <c r="E2005" s="66">
        <v>21448.85</v>
      </c>
      <c r="F2005" s="67" t="s">
        <v>743</v>
      </c>
      <c r="G2005" s="68">
        <v>9.4999999999999998E-3</v>
      </c>
      <c r="H2005" s="64"/>
    </row>
    <row r="2006" spans="1:8" x14ac:dyDescent="0.25">
      <c r="A2006" s="65">
        <v>45323</v>
      </c>
      <c r="B2006" s="66">
        <v>21697.45</v>
      </c>
      <c r="C2006" s="66">
        <v>21780.65</v>
      </c>
      <c r="D2006" s="66">
        <v>21832.95</v>
      </c>
      <c r="E2006" s="66">
        <v>21658.75</v>
      </c>
      <c r="F2006" s="67" t="s">
        <v>742</v>
      </c>
      <c r="G2006" s="68">
        <v>-1.2999999999999999E-3</v>
      </c>
      <c r="H2006" s="64"/>
    </row>
    <row r="2007" spans="1:8" x14ac:dyDescent="0.25">
      <c r="A2007" s="65">
        <v>45324</v>
      </c>
      <c r="B2007" s="66">
        <v>21853.8</v>
      </c>
      <c r="C2007" s="66">
        <v>21812.75</v>
      </c>
      <c r="D2007" s="66">
        <v>22126.799999999999</v>
      </c>
      <c r="E2007" s="66">
        <v>21805.55</v>
      </c>
      <c r="F2007" s="67" t="s">
        <v>741</v>
      </c>
      <c r="G2007" s="68">
        <v>7.1999999999999998E-3</v>
      </c>
      <c r="H2007" s="64"/>
    </row>
    <row r="2008" spans="1:8" x14ac:dyDescent="0.25">
      <c r="A2008" s="65">
        <v>45327</v>
      </c>
      <c r="B2008" s="66">
        <v>21771.7</v>
      </c>
      <c r="C2008" s="66">
        <v>21921.05</v>
      </c>
      <c r="D2008" s="66">
        <v>21964.3</v>
      </c>
      <c r="E2008" s="66">
        <v>21726.95</v>
      </c>
      <c r="F2008" s="67" t="s">
        <v>740</v>
      </c>
      <c r="G2008" s="68">
        <v>-3.8E-3</v>
      </c>
      <c r="H2008" s="64"/>
    </row>
    <row r="2009" spans="1:8" x14ac:dyDescent="0.25">
      <c r="A2009" s="65">
        <v>45328</v>
      </c>
      <c r="B2009" s="66">
        <v>21929.4</v>
      </c>
      <c r="C2009" s="66">
        <v>21825.200000000001</v>
      </c>
      <c r="D2009" s="66">
        <v>21951.4</v>
      </c>
      <c r="E2009" s="66">
        <v>21737.55</v>
      </c>
      <c r="F2009" s="67" t="s">
        <v>739</v>
      </c>
      <c r="G2009" s="68">
        <v>7.1999999999999998E-3</v>
      </c>
      <c r="H2009" s="64"/>
    </row>
    <row r="2010" spans="1:8" x14ac:dyDescent="0.25">
      <c r="A2010" s="65">
        <v>45329</v>
      </c>
      <c r="B2010" s="66">
        <v>21930.5</v>
      </c>
      <c r="C2010" s="66">
        <v>22045.05</v>
      </c>
      <c r="D2010" s="66">
        <v>22053.3</v>
      </c>
      <c r="E2010" s="66">
        <v>21860.15</v>
      </c>
      <c r="F2010" s="67" t="s">
        <v>738</v>
      </c>
      <c r="G2010" s="68">
        <v>1E-4</v>
      </c>
      <c r="H2010" s="64"/>
    </row>
    <row r="2011" spans="1:8" x14ac:dyDescent="0.25">
      <c r="A2011" s="65">
        <v>45330</v>
      </c>
      <c r="B2011" s="66">
        <v>21717.95</v>
      </c>
      <c r="C2011" s="66">
        <v>22009.65</v>
      </c>
      <c r="D2011" s="66">
        <v>22011.05</v>
      </c>
      <c r="E2011" s="66">
        <v>21665.3</v>
      </c>
      <c r="F2011" s="67" t="s">
        <v>737</v>
      </c>
      <c r="G2011" s="68">
        <v>-9.7000000000000003E-3</v>
      </c>
      <c r="H2011" s="64"/>
    </row>
    <row r="2012" spans="1:8" x14ac:dyDescent="0.25">
      <c r="A2012" s="65">
        <v>45331</v>
      </c>
      <c r="B2012" s="66">
        <v>21782.5</v>
      </c>
      <c r="C2012" s="66">
        <v>21727</v>
      </c>
      <c r="D2012" s="66">
        <v>21804.45</v>
      </c>
      <c r="E2012" s="66">
        <v>21629.9</v>
      </c>
      <c r="F2012" s="67" t="s">
        <v>736</v>
      </c>
      <c r="G2012" s="68">
        <v>3.0000000000000001E-3</v>
      </c>
      <c r="H2012" s="64"/>
    </row>
    <row r="2013" spans="1:8" x14ac:dyDescent="0.25">
      <c r="A2013" s="65">
        <v>45334</v>
      </c>
      <c r="B2013" s="66">
        <v>21616.05</v>
      </c>
      <c r="C2013" s="66">
        <v>21800.799999999999</v>
      </c>
      <c r="D2013" s="66">
        <v>21831.7</v>
      </c>
      <c r="E2013" s="66">
        <v>21574.75</v>
      </c>
      <c r="F2013" s="67" t="s">
        <v>735</v>
      </c>
      <c r="G2013" s="68">
        <v>-7.6E-3</v>
      </c>
      <c r="H2013" s="64"/>
    </row>
    <row r="2014" spans="1:8" x14ac:dyDescent="0.25">
      <c r="A2014" s="65">
        <v>45335</v>
      </c>
      <c r="B2014" s="66">
        <v>21743.25</v>
      </c>
      <c r="C2014" s="66">
        <v>21664.3</v>
      </c>
      <c r="D2014" s="66">
        <v>21766.799999999999</v>
      </c>
      <c r="E2014" s="66">
        <v>21543.35</v>
      </c>
      <c r="F2014" s="67" t="s">
        <v>734</v>
      </c>
      <c r="G2014" s="68">
        <v>5.8999999999999999E-3</v>
      </c>
      <c r="H2014" s="64"/>
    </row>
    <row r="2015" spans="1:8" x14ac:dyDescent="0.25">
      <c r="A2015" s="65">
        <v>45336</v>
      </c>
      <c r="B2015" s="66">
        <v>21840.05</v>
      </c>
      <c r="C2015" s="66">
        <v>21578.15</v>
      </c>
      <c r="D2015" s="66">
        <v>21870.85</v>
      </c>
      <c r="E2015" s="66">
        <v>21530.2</v>
      </c>
      <c r="F2015" s="67" t="s">
        <v>733</v>
      </c>
      <c r="G2015" s="68">
        <v>4.4999999999999997E-3</v>
      </c>
      <c r="H2015" s="64"/>
    </row>
    <row r="2016" spans="1:8" x14ac:dyDescent="0.25">
      <c r="A2016" s="65">
        <v>45337</v>
      </c>
      <c r="B2016" s="66">
        <v>21910.75</v>
      </c>
      <c r="C2016" s="66">
        <v>21906.55</v>
      </c>
      <c r="D2016" s="66">
        <v>21953.85</v>
      </c>
      <c r="E2016" s="66">
        <v>21794.799999999999</v>
      </c>
      <c r="F2016" s="67" t="s">
        <v>732</v>
      </c>
      <c r="G2016" s="68">
        <v>3.2000000000000002E-3</v>
      </c>
      <c r="H2016" s="64"/>
    </row>
    <row r="2017" spans="1:8" x14ac:dyDescent="0.25">
      <c r="A2017" s="65">
        <v>45338</v>
      </c>
      <c r="B2017" s="66">
        <v>22040.7</v>
      </c>
      <c r="C2017" s="66">
        <v>22020.3</v>
      </c>
      <c r="D2017" s="66">
        <v>22068.65</v>
      </c>
      <c r="E2017" s="66">
        <v>21968.95</v>
      </c>
      <c r="F2017" s="67" t="s">
        <v>731</v>
      </c>
      <c r="G2017" s="68">
        <v>5.8999999999999999E-3</v>
      </c>
      <c r="H2017" s="64"/>
    </row>
    <row r="2018" spans="1:8" x14ac:dyDescent="0.25">
      <c r="A2018" s="65">
        <v>45341</v>
      </c>
      <c r="B2018" s="66">
        <v>22122.25</v>
      </c>
      <c r="C2018" s="66">
        <v>22103.45</v>
      </c>
      <c r="D2018" s="66">
        <v>22186.65</v>
      </c>
      <c r="E2018" s="66">
        <v>22021.05</v>
      </c>
      <c r="F2018" s="67"/>
      <c r="G2018" s="68">
        <v>3.7000000000000002E-3</v>
      </c>
      <c r="H2018" s="64"/>
    </row>
    <row r="2019" spans="1:8" x14ac:dyDescent="0.25">
      <c r="A2019" s="65">
        <v>45342</v>
      </c>
      <c r="B2019" s="66">
        <v>22196.95</v>
      </c>
      <c r="C2019" s="66">
        <v>22099.200000000001</v>
      </c>
      <c r="D2019" s="66">
        <v>22215.599999999999</v>
      </c>
      <c r="E2019" s="66">
        <v>22045.85</v>
      </c>
      <c r="F2019" s="67" t="s">
        <v>730</v>
      </c>
      <c r="G2019" s="68">
        <v>3.3999999999999998E-3</v>
      </c>
      <c r="H2019" s="64"/>
    </row>
    <row r="2020" spans="1:8" x14ac:dyDescent="0.25">
      <c r="A2020" s="65">
        <v>45343</v>
      </c>
      <c r="B2020" s="66">
        <v>22055.05</v>
      </c>
      <c r="C2020" s="66">
        <v>22248.85</v>
      </c>
      <c r="D2020" s="66">
        <v>22249.4</v>
      </c>
      <c r="E2020" s="66">
        <v>21997.95</v>
      </c>
      <c r="F2020" s="67" t="s">
        <v>729</v>
      </c>
      <c r="G2020" s="68">
        <v>-6.4000000000000003E-3</v>
      </c>
      <c r="H2020" s="64"/>
    </row>
    <row r="2021" spans="1:8" x14ac:dyDescent="0.25">
      <c r="A2021" s="65">
        <v>45344</v>
      </c>
      <c r="B2021" s="66">
        <v>22217.45</v>
      </c>
      <c r="C2021" s="66">
        <v>22081.55</v>
      </c>
      <c r="D2021" s="66">
        <v>22252.5</v>
      </c>
      <c r="E2021" s="66">
        <v>21875.25</v>
      </c>
      <c r="F2021" s="67" t="s">
        <v>728</v>
      </c>
      <c r="G2021" s="68">
        <v>7.4000000000000003E-3</v>
      </c>
      <c r="H2021" s="64"/>
    </row>
    <row r="2022" spans="1:8" x14ac:dyDescent="0.25">
      <c r="A2022" s="65">
        <v>45345</v>
      </c>
      <c r="B2022" s="66">
        <v>22212.7</v>
      </c>
      <c r="C2022" s="66">
        <v>22290</v>
      </c>
      <c r="D2022" s="66">
        <v>22297.5</v>
      </c>
      <c r="E2022" s="66">
        <v>22186.1</v>
      </c>
      <c r="F2022" s="67" t="s">
        <v>727</v>
      </c>
      <c r="G2022" s="68">
        <v>-2.0000000000000001E-4</v>
      </c>
      <c r="H2022" s="64"/>
    </row>
    <row r="2023" spans="1:8" x14ac:dyDescent="0.25">
      <c r="A2023" s="65">
        <v>45348</v>
      </c>
      <c r="B2023" s="66">
        <v>22122.05</v>
      </c>
      <c r="C2023" s="66">
        <v>22169.200000000001</v>
      </c>
      <c r="D2023" s="66">
        <v>22202.15</v>
      </c>
      <c r="E2023" s="66">
        <v>22075.15</v>
      </c>
      <c r="F2023" s="67" t="s">
        <v>726</v>
      </c>
      <c r="G2023" s="68">
        <v>-4.1000000000000003E-3</v>
      </c>
      <c r="H2023" s="64"/>
    </row>
    <row r="2024" spans="1:8" x14ac:dyDescent="0.25">
      <c r="A2024" s="65">
        <v>45349</v>
      </c>
      <c r="B2024" s="66">
        <v>22198.35</v>
      </c>
      <c r="C2024" s="66">
        <v>22090.2</v>
      </c>
      <c r="D2024" s="66">
        <v>22218.25</v>
      </c>
      <c r="E2024" s="66">
        <v>22085.65</v>
      </c>
      <c r="F2024" s="67" t="s">
        <v>725</v>
      </c>
      <c r="G2024" s="68">
        <v>3.3999999999999998E-3</v>
      </c>
      <c r="H2024" s="64"/>
    </row>
    <row r="2025" spans="1:8" x14ac:dyDescent="0.25">
      <c r="A2025" s="65">
        <v>45350</v>
      </c>
      <c r="B2025" s="66">
        <v>21951.15</v>
      </c>
      <c r="C2025" s="66">
        <v>22214.1</v>
      </c>
      <c r="D2025" s="66">
        <v>22229.15</v>
      </c>
      <c r="E2025" s="66">
        <v>21915.85</v>
      </c>
      <c r="F2025" s="67" t="s">
        <v>724</v>
      </c>
      <c r="G2025" s="68">
        <v>-1.11E-2</v>
      </c>
      <c r="H2025" s="64"/>
    </row>
    <row r="2026" spans="1:8" x14ac:dyDescent="0.25">
      <c r="A2026" s="65">
        <v>45351</v>
      </c>
      <c r="B2026" s="66">
        <v>21982.799999999999</v>
      </c>
      <c r="C2026" s="66">
        <v>21935.200000000001</v>
      </c>
      <c r="D2026" s="66">
        <v>22060.55</v>
      </c>
      <c r="E2026" s="66">
        <v>21860.65</v>
      </c>
      <c r="F2026" s="67" t="s">
        <v>723</v>
      </c>
      <c r="G2026" s="68">
        <v>1.4E-3</v>
      </c>
      <c r="H2026" s="64"/>
    </row>
    <row r="2027" spans="1:8" x14ac:dyDescent="0.25">
      <c r="A2027" s="65">
        <v>45352</v>
      </c>
      <c r="B2027" s="66">
        <v>22338.75</v>
      </c>
      <c r="C2027" s="66">
        <v>22048.3</v>
      </c>
      <c r="D2027" s="66">
        <v>22353.3</v>
      </c>
      <c r="E2027" s="66">
        <v>22047.75</v>
      </c>
      <c r="F2027" s="67" t="s">
        <v>722</v>
      </c>
      <c r="G2027" s="68">
        <v>1.6199999999999999E-2</v>
      </c>
      <c r="H2027" s="64"/>
    </row>
    <row r="2028" spans="1:8" x14ac:dyDescent="0.25">
      <c r="A2028" s="65">
        <v>45353</v>
      </c>
      <c r="B2028" s="66">
        <v>22378.400000000001</v>
      </c>
      <c r="C2028" s="66">
        <v>22406.95</v>
      </c>
      <c r="D2028" s="66">
        <v>22419.55</v>
      </c>
      <c r="E2028" s="66">
        <v>22367.05</v>
      </c>
      <c r="F2028" s="67" t="s">
        <v>721</v>
      </c>
      <c r="G2028" s="68">
        <v>1.8E-3</v>
      </c>
      <c r="H2028" s="64"/>
    </row>
    <row r="2029" spans="1:8" x14ac:dyDescent="0.25">
      <c r="A2029" s="65">
        <v>45355</v>
      </c>
      <c r="B2029" s="66">
        <v>22405.599999999999</v>
      </c>
      <c r="C2029" s="66">
        <v>22403.5</v>
      </c>
      <c r="D2029" s="66">
        <v>22440.9</v>
      </c>
      <c r="E2029" s="66">
        <v>22358.3</v>
      </c>
      <c r="F2029" s="67" t="s">
        <v>720</v>
      </c>
      <c r="G2029" s="68">
        <v>1.1999999999999999E-3</v>
      </c>
      <c r="H2029" s="64"/>
    </row>
    <row r="2030" spans="1:8" x14ac:dyDescent="0.25">
      <c r="A2030" s="65">
        <v>45356</v>
      </c>
      <c r="B2030" s="66">
        <v>22356.3</v>
      </c>
      <c r="C2030" s="66">
        <v>22371.25</v>
      </c>
      <c r="D2030" s="66">
        <v>22416.9</v>
      </c>
      <c r="E2030" s="66">
        <v>22269.15</v>
      </c>
      <c r="F2030" s="67" t="s">
        <v>719</v>
      </c>
      <c r="G2030" s="68">
        <v>-2.2000000000000001E-3</v>
      </c>
      <c r="H2030" s="64"/>
    </row>
    <row r="2031" spans="1:8" x14ac:dyDescent="0.25">
      <c r="A2031" s="65">
        <v>45357</v>
      </c>
      <c r="B2031" s="66">
        <v>22474.05</v>
      </c>
      <c r="C2031" s="66">
        <v>22327.5</v>
      </c>
      <c r="D2031" s="66">
        <v>22497.200000000001</v>
      </c>
      <c r="E2031" s="66">
        <v>22224.35</v>
      </c>
      <c r="F2031" s="67" t="s">
        <v>718</v>
      </c>
      <c r="G2031" s="68">
        <v>5.3E-3</v>
      </c>
      <c r="H2031" s="64"/>
    </row>
    <row r="2032" spans="1:8" x14ac:dyDescent="0.25">
      <c r="A2032" s="65">
        <v>45358</v>
      </c>
      <c r="B2032" s="66">
        <v>22493.55</v>
      </c>
      <c r="C2032" s="66">
        <v>22505.3</v>
      </c>
      <c r="D2032" s="66">
        <v>22525.65</v>
      </c>
      <c r="E2032" s="66">
        <v>22430</v>
      </c>
      <c r="F2032" s="67" t="s">
        <v>717</v>
      </c>
      <c r="G2032" s="68">
        <v>8.9999999999999998E-4</v>
      </c>
      <c r="H2032" s="64"/>
    </row>
    <row r="2033" spans="1:8" x14ac:dyDescent="0.25">
      <c r="A2033" s="65">
        <v>45362</v>
      </c>
      <c r="B2033" s="66">
        <v>22332.65</v>
      </c>
      <c r="C2033" s="66">
        <v>22517.5</v>
      </c>
      <c r="D2033" s="66">
        <v>22526.6</v>
      </c>
      <c r="E2033" s="66">
        <v>22307.25</v>
      </c>
      <c r="F2033" s="67" t="s">
        <v>716</v>
      </c>
      <c r="G2033" s="68">
        <v>-7.1999999999999998E-3</v>
      </c>
      <c r="H2033" s="64"/>
    </row>
    <row r="2034" spans="1:8" x14ac:dyDescent="0.25">
      <c r="A2034" s="65">
        <v>45363</v>
      </c>
      <c r="B2034" s="66">
        <v>22335.7</v>
      </c>
      <c r="C2034" s="66">
        <v>22334.45</v>
      </c>
      <c r="D2034" s="66">
        <v>22452.55</v>
      </c>
      <c r="E2034" s="66">
        <v>22256</v>
      </c>
      <c r="F2034" s="67" t="s">
        <v>339</v>
      </c>
      <c r="G2034" s="68">
        <v>1E-4</v>
      </c>
      <c r="H2034" s="64"/>
    </row>
    <row r="2035" spans="1:8" x14ac:dyDescent="0.25">
      <c r="A2035" s="65">
        <v>45364</v>
      </c>
      <c r="B2035" s="66">
        <v>21997.7</v>
      </c>
      <c r="C2035" s="66">
        <v>22432.2</v>
      </c>
      <c r="D2035" s="66">
        <v>22446.75</v>
      </c>
      <c r="E2035" s="66">
        <v>21905.65</v>
      </c>
      <c r="F2035" s="67" t="s">
        <v>715</v>
      </c>
      <c r="G2035" s="68">
        <v>-1.5100000000000001E-2</v>
      </c>
      <c r="H2035" s="64"/>
    </row>
    <row r="2036" spans="1:8" x14ac:dyDescent="0.25">
      <c r="A2036" s="65">
        <v>45365</v>
      </c>
      <c r="B2036" s="66">
        <v>22146.65</v>
      </c>
      <c r="C2036" s="66">
        <v>21982.55</v>
      </c>
      <c r="D2036" s="66">
        <v>22204.6</v>
      </c>
      <c r="E2036" s="66">
        <v>21917.5</v>
      </c>
      <c r="F2036" s="67" t="s">
        <v>714</v>
      </c>
      <c r="G2036" s="68">
        <v>6.7999999999999996E-3</v>
      </c>
      <c r="H2036" s="64"/>
    </row>
    <row r="2037" spans="1:8" x14ac:dyDescent="0.25">
      <c r="A2037" s="65">
        <v>45366</v>
      </c>
      <c r="B2037" s="66">
        <v>22023.35</v>
      </c>
      <c r="C2037" s="66">
        <v>22064.85</v>
      </c>
      <c r="D2037" s="66">
        <v>22120.9</v>
      </c>
      <c r="E2037" s="66">
        <v>21931.7</v>
      </c>
      <c r="F2037" s="67" t="s">
        <v>713</v>
      </c>
      <c r="G2037" s="68">
        <v>-5.5999999999999999E-3</v>
      </c>
      <c r="H2037" s="64"/>
    </row>
    <row r="2038" spans="1:8" x14ac:dyDescent="0.25">
      <c r="A2038" s="65">
        <v>45369</v>
      </c>
      <c r="B2038" s="66">
        <v>22055.7</v>
      </c>
      <c r="C2038" s="66">
        <v>21990.1</v>
      </c>
      <c r="D2038" s="66">
        <v>22123.7</v>
      </c>
      <c r="E2038" s="66">
        <v>21916.55</v>
      </c>
      <c r="F2038" s="67" t="s">
        <v>712</v>
      </c>
      <c r="G2038" s="68">
        <v>1.5E-3</v>
      </c>
      <c r="H2038" s="64"/>
    </row>
    <row r="2039" spans="1:8" x14ac:dyDescent="0.25">
      <c r="A2039" s="65">
        <v>45370</v>
      </c>
      <c r="B2039" s="66">
        <v>21817.45</v>
      </c>
      <c r="C2039" s="66">
        <v>21946.45</v>
      </c>
      <c r="D2039" s="66">
        <v>21978.3</v>
      </c>
      <c r="E2039" s="66">
        <v>21793.1</v>
      </c>
      <c r="F2039" s="67" t="s">
        <v>711</v>
      </c>
      <c r="G2039" s="68">
        <v>-1.0800000000000001E-2</v>
      </c>
      <c r="H2039" s="64"/>
    </row>
    <row r="2040" spans="1:8" x14ac:dyDescent="0.25">
      <c r="A2040" s="65">
        <v>45371</v>
      </c>
      <c r="B2040" s="66">
        <v>21839.1</v>
      </c>
      <c r="C2040" s="66">
        <v>21843.9</v>
      </c>
      <c r="D2040" s="66">
        <v>21930.9</v>
      </c>
      <c r="E2040" s="66">
        <v>21710.2</v>
      </c>
      <c r="F2040" s="67" t="s">
        <v>710</v>
      </c>
      <c r="G2040" s="68">
        <v>1E-3</v>
      </c>
      <c r="H2040" s="64"/>
    </row>
    <row r="2041" spans="1:8" x14ac:dyDescent="0.25">
      <c r="A2041" s="65">
        <v>45372</v>
      </c>
      <c r="B2041" s="66">
        <v>22011.95</v>
      </c>
      <c r="C2041" s="66">
        <v>21989.9</v>
      </c>
      <c r="D2041" s="66">
        <v>22080.95</v>
      </c>
      <c r="E2041" s="66">
        <v>21941.3</v>
      </c>
      <c r="F2041" s="67" t="s">
        <v>709</v>
      </c>
      <c r="G2041" s="68">
        <v>7.9000000000000008E-3</v>
      </c>
      <c r="H2041" s="64"/>
    </row>
    <row r="2042" spans="1:8" x14ac:dyDescent="0.25">
      <c r="A2042" s="65">
        <v>45373</v>
      </c>
      <c r="B2042" s="66">
        <v>22096.75</v>
      </c>
      <c r="C2042" s="66">
        <v>21932.2</v>
      </c>
      <c r="D2042" s="66">
        <v>22180.7</v>
      </c>
      <c r="E2042" s="66">
        <v>21883.3</v>
      </c>
      <c r="F2042" s="67" t="s">
        <v>708</v>
      </c>
      <c r="G2042" s="68">
        <v>3.8999999999999998E-3</v>
      </c>
      <c r="H2042" s="64"/>
    </row>
    <row r="2043" spans="1:8" x14ac:dyDescent="0.25">
      <c r="A2043" s="65">
        <v>45377</v>
      </c>
      <c r="B2043" s="66">
        <v>22004.7</v>
      </c>
      <c r="C2043" s="66">
        <v>21947.9</v>
      </c>
      <c r="D2043" s="66">
        <v>22073.200000000001</v>
      </c>
      <c r="E2043" s="66">
        <v>21947.55</v>
      </c>
      <c r="F2043" s="67" t="s">
        <v>707</v>
      </c>
      <c r="G2043" s="68">
        <v>-4.1999999999999997E-3</v>
      </c>
      <c r="H2043" s="64"/>
    </row>
    <row r="2044" spans="1:8" x14ac:dyDescent="0.25">
      <c r="A2044" s="65">
        <v>45378</v>
      </c>
      <c r="B2044" s="66">
        <v>22123.65</v>
      </c>
      <c r="C2044" s="66">
        <v>22053.95</v>
      </c>
      <c r="D2044" s="66">
        <v>22193.599999999999</v>
      </c>
      <c r="E2044" s="66">
        <v>22052.85</v>
      </c>
      <c r="F2044" s="67" t="s">
        <v>706</v>
      </c>
      <c r="G2044" s="68">
        <v>5.4000000000000003E-3</v>
      </c>
      <c r="H2044" s="64"/>
    </row>
    <row r="2045" spans="1:8" x14ac:dyDescent="0.25">
      <c r="A2045" s="65">
        <v>45379</v>
      </c>
      <c r="B2045" s="66">
        <v>22326.9</v>
      </c>
      <c r="C2045" s="66">
        <v>22163.599999999999</v>
      </c>
      <c r="D2045" s="66">
        <v>22516</v>
      </c>
      <c r="E2045" s="66">
        <v>22163.599999999999</v>
      </c>
      <c r="F2045" s="67" t="s">
        <v>705</v>
      </c>
      <c r="G2045" s="68">
        <v>9.1999999999999998E-3</v>
      </c>
      <c r="H2045" s="64"/>
    </row>
    <row r="2046" spans="1:8" x14ac:dyDescent="0.25">
      <c r="A2046" s="65">
        <v>45383</v>
      </c>
      <c r="B2046" s="66">
        <v>22462</v>
      </c>
      <c r="C2046" s="66">
        <v>22455</v>
      </c>
      <c r="D2046" s="66">
        <v>22529.95</v>
      </c>
      <c r="E2046" s="66">
        <v>22427.75</v>
      </c>
      <c r="F2046" s="67" t="s">
        <v>704</v>
      </c>
      <c r="G2046" s="68">
        <v>6.1000000000000004E-3</v>
      </c>
      <c r="H2046" s="64"/>
    </row>
    <row r="2047" spans="1:8" x14ac:dyDescent="0.25">
      <c r="A2047" s="65">
        <v>45384</v>
      </c>
      <c r="B2047" s="66">
        <v>22453.3</v>
      </c>
      <c r="C2047" s="66">
        <v>22458.799999999999</v>
      </c>
      <c r="D2047" s="66">
        <v>22497.599999999999</v>
      </c>
      <c r="E2047" s="66">
        <v>22388.15</v>
      </c>
      <c r="F2047" s="67" t="s">
        <v>703</v>
      </c>
      <c r="G2047" s="68">
        <v>-4.0000000000000002E-4</v>
      </c>
      <c r="H2047" s="64"/>
    </row>
    <row r="2048" spans="1:8" x14ac:dyDescent="0.25">
      <c r="A2048" s="65">
        <v>45385</v>
      </c>
      <c r="B2048" s="66">
        <v>22434.65</v>
      </c>
      <c r="C2048" s="66">
        <v>22385.7</v>
      </c>
      <c r="D2048" s="66">
        <v>22521.1</v>
      </c>
      <c r="E2048" s="66">
        <v>22346.5</v>
      </c>
      <c r="F2048" s="67" t="s">
        <v>702</v>
      </c>
      <c r="G2048" s="68">
        <v>-8.0000000000000004E-4</v>
      </c>
      <c r="H2048" s="64"/>
    </row>
    <row r="2049" spans="1:8" x14ac:dyDescent="0.25">
      <c r="A2049" s="65">
        <v>45386</v>
      </c>
      <c r="B2049" s="66">
        <v>22514.65</v>
      </c>
      <c r="C2049" s="66">
        <v>22592.1</v>
      </c>
      <c r="D2049" s="66">
        <v>22619</v>
      </c>
      <c r="E2049" s="66">
        <v>22303.8</v>
      </c>
      <c r="F2049" s="67" t="s">
        <v>701</v>
      </c>
      <c r="G2049" s="68">
        <v>3.5999999999999999E-3</v>
      </c>
      <c r="H2049" s="64"/>
    </row>
    <row r="2050" spans="1:8" x14ac:dyDescent="0.25">
      <c r="A2050" s="65">
        <v>45387</v>
      </c>
      <c r="B2050" s="66">
        <v>22513.7</v>
      </c>
      <c r="C2050" s="66">
        <v>22486.400000000001</v>
      </c>
      <c r="D2050" s="66">
        <v>22537.599999999999</v>
      </c>
      <c r="E2050" s="66">
        <v>22427.599999999999</v>
      </c>
      <c r="F2050" s="67" t="s">
        <v>700</v>
      </c>
      <c r="G2050" s="68">
        <v>0</v>
      </c>
      <c r="H2050" s="64"/>
    </row>
    <row r="2051" spans="1:8" x14ac:dyDescent="0.25">
      <c r="A2051" s="65">
        <v>45390</v>
      </c>
      <c r="B2051" s="66">
        <v>22666.3</v>
      </c>
      <c r="C2051" s="66">
        <v>22578.35</v>
      </c>
      <c r="D2051" s="66">
        <v>22697.3</v>
      </c>
      <c r="E2051" s="66">
        <v>22550.35</v>
      </c>
      <c r="F2051" s="67" t="s">
        <v>699</v>
      </c>
      <c r="G2051" s="68">
        <v>6.7999999999999996E-3</v>
      </c>
      <c r="H2051" s="64"/>
    </row>
    <row r="2052" spans="1:8" x14ac:dyDescent="0.25">
      <c r="A2052" s="65">
        <v>45391</v>
      </c>
      <c r="B2052" s="66">
        <v>22642.75</v>
      </c>
      <c r="C2052" s="66">
        <v>22765.1</v>
      </c>
      <c r="D2052" s="66">
        <v>22768.400000000001</v>
      </c>
      <c r="E2052" s="66">
        <v>22612.25</v>
      </c>
      <c r="F2052" s="67" t="s">
        <v>698</v>
      </c>
      <c r="G2052" s="68">
        <v>-1E-3</v>
      </c>
      <c r="H2052" s="64"/>
    </row>
    <row r="2053" spans="1:8" x14ac:dyDescent="0.25">
      <c r="A2053" s="65">
        <v>45392</v>
      </c>
      <c r="B2053" s="66">
        <v>22753.8</v>
      </c>
      <c r="C2053" s="66">
        <v>22720.25</v>
      </c>
      <c r="D2053" s="66">
        <v>22775.7</v>
      </c>
      <c r="E2053" s="66">
        <v>22673.7</v>
      </c>
      <c r="F2053" s="67" t="s">
        <v>697</v>
      </c>
      <c r="G2053" s="68">
        <v>4.8999999999999998E-3</v>
      </c>
      <c r="H2053" s="64"/>
    </row>
    <row r="2054" spans="1:8" x14ac:dyDescent="0.25">
      <c r="A2054" s="65">
        <v>45394</v>
      </c>
      <c r="B2054" s="66">
        <v>22519.4</v>
      </c>
      <c r="C2054" s="66">
        <v>22677.4</v>
      </c>
      <c r="D2054" s="66">
        <v>22726.45</v>
      </c>
      <c r="E2054" s="66">
        <v>22503.75</v>
      </c>
      <c r="F2054" s="67" t="s">
        <v>696</v>
      </c>
      <c r="G2054" s="68">
        <v>-1.03E-2</v>
      </c>
      <c r="H2054" s="64"/>
    </row>
    <row r="2055" spans="1:8" x14ac:dyDescent="0.25">
      <c r="A2055" s="65">
        <v>45397</v>
      </c>
      <c r="B2055" s="66">
        <v>22272.5</v>
      </c>
      <c r="C2055" s="66">
        <v>22339.05</v>
      </c>
      <c r="D2055" s="66">
        <v>22427.45</v>
      </c>
      <c r="E2055" s="66">
        <v>22259.55</v>
      </c>
      <c r="F2055" s="67" t="s">
        <v>695</v>
      </c>
      <c r="G2055" s="68">
        <v>-1.0999999999999999E-2</v>
      </c>
      <c r="H2055" s="64"/>
    </row>
    <row r="2056" spans="1:8" x14ac:dyDescent="0.25">
      <c r="A2056" s="65">
        <v>45398</v>
      </c>
      <c r="B2056" s="66">
        <v>22147.9</v>
      </c>
      <c r="C2056" s="66">
        <v>22125.3</v>
      </c>
      <c r="D2056" s="66">
        <v>22213.75</v>
      </c>
      <c r="E2056" s="66">
        <v>22079.45</v>
      </c>
      <c r="F2056" s="67" t="s">
        <v>694</v>
      </c>
      <c r="G2056" s="68">
        <v>-5.5999999999999999E-3</v>
      </c>
      <c r="H2056" s="64"/>
    </row>
    <row r="2057" spans="1:8" x14ac:dyDescent="0.25">
      <c r="A2057" s="65">
        <v>45400</v>
      </c>
      <c r="B2057" s="66">
        <v>21995.85</v>
      </c>
      <c r="C2057" s="66">
        <v>22212.35</v>
      </c>
      <c r="D2057" s="66">
        <v>22326.5</v>
      </c>
      <c r="E2057" s="66">
        <v>21961.7</v>
      </c>
      <c r="F2057" s="67" t="s">
        <v>693</v>
      </c>
      <c r="G2057" s="68">
        <v>-6.8999999999999999E-3</v>
      </c>
      <c r="H2057" s="64"/>
    </row>
    <row r="2058" spans="1:8" x14ac:dyDescent="0.25">
      <c r="A2058" s="65">
        <v>45401</v>
      </c>
      <c r="B2058" s="66">
        <v>22147</v>
      </c>
      <c r="C2058" s="66">
        <v>21861.5</v>
      </c>
      <c r="D2058" s="66">
        <v>22179.55</v>
      </c>
      <c r="E2058" s="66">
        <v>21777.65</v>
      </c>
      <c r="F2058" s="67" t="s">
        <v>692</v>
      </c>
      <c r="G2058" s="68">
        <v>6.8999999999999999E-3</v>
      </c>
      <c r="H2058" s="64"/>
    </row>
    <row r="2059" spans="1:8" x14ac:dyDescent="0.25">
      <c r="A2059" s="65">
        <v>45404</v>
      </c>
      <c r="B2059" s="66">
        <v>22336.400000000001</v>
      </c>
      <c r="C2059" s="66">
        <v>22336.9</v>
      </c>
      <c r="D2059" s="66">
        <v>22375.65</v>
      </c>
      <c r="E2059" s="66">
        <v>22198.15</v>
      </c>
      <c r="F2059" s="67" t="s">
        <v>691</v>
      </c>
      <c r="G2059" s="68">
        <v>8.6E-3</v>
      </c>
      <c r="H2059" s="64"/>
    </row>
    <row r="2060" spans="1:8" x14ac:dyDescent="0.25">
      <c r="A2060" s="65">
        <v>45405</v>
      </c>
      <c r="B2060" s="66">
        <v>22368</v>
      </c>
      <c r="C2060" s="66">
        <v>22447.05</v>
      </c>
      <c r="D2060" s="66">
        <v>22447.55</v>
      </c>
      <c r="E2060" s="66">
        <v>22349.45</v>
      </c>
      <c r="F2060" s="67" t="s">
        <v>690</v>
      </c>
      <c r="G2060" s="68">
        <v>1.4E-3</v>
      </c>
      <c r="H2060" s="64"/>
    </row>
    <row r="2061" spans="1:8" x14ac:dyDescent="0.25">
      <c r="A2061" s="65">
        <v>45406</v>
      </c>
      <c r="B2061" s="66">
        <v>22402.400000000001</v>
      </c>
      <c r="C2061" s="66">
        <v>22421.55</v>
      </c>
      <c r="D2061" s="66">
        <v>22476.45</v>
      </c>
      <c r="E2061" s="66">
        <v>22384</v>
      </c>
      <c r="F2061" s="67" t="s">
        <v>689</v>
      </c>
      <c r="G2061" s="68">
        <v>1.5E-3</v>
      </c>
      <c r="H2061" s="64"/>
    </row>
    <row r="2062" spans="1:8" x14ac:dyDescent="0.25">
      <c r="A2062" s="65">
        <v>45407</v>
      </c>
      <c r="B2062" s="66">
        <v>22570.35</v>
      </c>
      <c r="C2062" s="66">
        <v>22316.9</v>
      </c>
      <c r="D2062" s="66">
        <v>22625.95</v>
      </c>
      <c r="E2062" s="66">
        <v>22305.25</v>
      </c>
      <c r="F2062" s="67" t="s">
        <v>688</v>
      </c>
      <c r="G2062" s="68">
        <v>7.4999999999999997E-3</v>
      </c>
      <c r="H2062" s="64"/>
    </row>
    <row r="2063" spans="1:8" x14ac:dyDescent="0.25">
      <c r="A2063" s="65">
        <v>45408</v>
      </c>
      <c r="B2063" s="66">
        <v>22419.95</v>
      </c>
      <c r="C2063" s="66">
        <v>22620.400000000001</v>
      </c>
      <c r="D2063" s="66">
        <v>22620.400000000001</v>
      </c>
      <c r="E2063" s="66">
        <v>22385.55</v>
      </c>
      <c r="F2063" s="67" t="s">
        <v>687</v>
      </c>
      <c r="G2063" s="68">
        <v>-6.7000000000000002E-3</v>
      </c>
      <c r="H2063" s="64"/>
    </row>
    <row r="2064" spans="1:8" x14ac:dyDescent="0.25">
      <c r="A2064" s="65">
        <v>45411</v>
      </c>
      <c r="B2064" s="66">
        <v>22643.4</v>
      </c>
      <c r="C2064" s="66">
        <v>22475.55</v>
      </c>
      <c r="D2064" s="66">
        <v>22655.8</v>
      </c>
      <c r="E2064" s="66">
        <v>22441.9</v>
      </c>
      <c r="F2064" s="67" t="s">
        <v>686</v>
      </c>
      <c r="G2064" s="68">
        <v>0.01</v>
      </c>
      <c r="H2064" s="64"/>
    </row>
    <row r="2065" spans="1:8" x14ac:dyDescent="0.25">
      <c r="A2065" s="65">
        <v>45412</v>
      </c>
      <c r="B2065" s="66">
        <v>22604.85</v>
      </c>
      <c r="C2065" s="66">
        <v>22679.65</v>
      </c>
      <c r="D2065" s="66">
        <v>22783.35</v>
      </c>
      <c r="E2065" s="66">
        <v>22568.400000000001</v>
      </c>
      <c r="F2065" s="67" t="s">
        <v>685</v>
      </c>
      <c r="G2065" s="68">
        <v>-1.6999999999999999E-3</v>
      </c>
      <c r="H2065" s="64"/>
    </row>
    <row r="2066" spans="1:8" x14ac:dyDescent="0.25">
      <c r="A2066" s="65">
        <v>45414</v>
      </c>
      <c r="B2066" s="66">
        <v>22648.2</v>
      </c>
      <c r="C2066" s="66">
        <v>22567.85</v>
      </c>
      <c r="D2066" s="66">
        <v>22710.5</v>
      </c>
      <c r="E2066" s="66">
        <v>22567.85</v>
      </c>
      <c r="F2066" s="67" t="s">
        <v>684</v>
      </c>
      <c r="G2066" s="68">
        <v>1.9E-3</v>
      </c>
      <c r="H2066" s="64"/>
    </row>
    <row r="2067" spans="1:8" x14ac:dyDescent="0.25">
      <c r="A2067" s="65">
        <v>45415</v>
      </c>
      <c r="B2067" s="66">
        <v>22475.85</v>
      </c>
      <c r="C2067" s="66">
        <v>22766.35</v>
      </c>
      <c r="D2067" s="66">
        <v>22794.7</v>
      </c>
      <c r="E2067" s="66">
        <v>22348.05</v>
      </c>
      <c r="F2067" s="67" t="s">
        <v>683</v>
      </c>
      <c r="G2067" s="68">
        <v>-7.6E-3</v>
      </c>
      <c r="H2067" s="64"/>
    </row>
    <row r="2068" spans="1:8" x14ac:dyDescent="0.25">
      <c r="A2068" s="65">
        <v>45418</v>
      </c>
      <c r="B2068" s="66">
        <v>22442.7</v>
      </c>
      <c r="C2068" s="66">
        <v>22561.599999999999</v>
      </c>
      <c r="D2068" s="66">
        <v>22588.799999999999</v>
      </c>
      <c r="E2068" s="66">
        <v>22409.45</v>
      </c>
      <c r="F2068" s="67" t="s">
        <v>682</v>
      </c>
      <c r="G2068" s="68">
        <v>-1.5E-3</v>
      </c>
      <c r="H2068" s="64"/>
    </row>
    <row r="2069" spans="1:8" x14ac:dyDescent="0.25">
      <c r="A2069" s="65">
        <v>45419</v>
      </c>
      <c r="B2069" s="66">
        <v>22302.5</v>
      </c>
      <c r="C2069" s="66">
        <v>22489.75</v>
      </c>
      <c r="D2069" s="66">
        <v>22499.05</v>
      </c>
      <c r="E2069" s="66">
        <v>22232.05</v>
      </c>
      <c r="F2069" s="67" t="s">
        <v>681</v>
      </c>
      <c r="G2069" s="68">
        <v>-6.1999999999999998E-3</v>
      </c>
      <c r="H2069" s="64"/>
    </row>
    <row r="2070" spans="1:8" x14ac:dyDescent="0.25">
      <c r="A2070" s="65">
        <v>45420</v>
      </c>
      <c r="B2070" s="66">
        <v>22302.5</v>
      </c>
      <c r="C2070" s="66">
        <v>22231.200000000001</v>
      </c>
      <c r="D2070" s="66">
        <v>22368.65</v>
      </c>
      <c r="E2070" s="66">
        <v>22185.200000000001</v>
      </c>
      <c r="F2070" s="67" t="s">
        <v>680</v>
      </c>
      <c r="G2070" s="68">
        <v>0</v>
      </c>
      <c r="H2070" s="64"/>
    </row>
    <row r="2071" spans="1:8" x14ac:dyDescent="0.25">
      <c r="A2071" s="65">
        <v>45421</v>
      </c>
      <c r="B2071" s="66">
        <v>21957.5</v>
      </c>
      <c r="C2071" s="66">
        <v>22224.799999999999</v>
      </c>
      <c r="D2071" s="66">
        <v>22307.75</v>
      </c>
      <c r="E2071" s="66">
        <v>21932.400000000001</v>
      </c>
      <c r="F2071" s="67" t="s">
        <v>679</v>
      </c>
      <c r="G2071" s="68">
        <v>-1.55E-2</v>
      </c>
      <c r="H2071" s="64"/>
    </row>
    <row r="2072" spans="1:8" x14ac:dyDescent="0.25">
      <c r="A2072" s="65">
        <v>45422</v>
      </c>
      <c r="B2072" s="66">
        <v>22055.200000000001</v>
      </c>
      <c r="C2072" s="66">
        <v>21990.95</v>
      </c>
      <c r="D2072" s="66">
        <v>22131.3</v>
      </c>
      <c r="E2072" s="66">
        <v>21950.3</v>
      </c>
      <c r="F2072" s="67" t="s">
        <v>678</v>
      </c>
      <c r="G2072" s="68">
        <v>4.4000000000000003E-3</v>
      </c>
      <c r="H2072" s="64"/>
    </row>
    <row r="2073" spans="1:8" x14ac:dyDescent="0.25">
      <c r="A2073" s="65">
        <v>45425</v>
      </c>
      <c r="B2073" s="66">
        <v>22104.05</v>
      </c>
      <c r="C2073" s="66">
        <v>22027.95</v>
      </c>
      <c r="D2073" s="66">
        <v>22131.65</v>
      </c>
      <c r="E2073" s="66">
        <v>21821.05</v>
      </c>
      <c r="F2073" s="67" t="s">
        <v>677</v>
      </c>
      <c r="G2073" s="68">
        <v>2.2000000000000001E-3</v>
      </c>
      <c r="H2073" s="64"/>
    </row>
    <row r="2074" spans="1:8" x14ac:dyDescent="0.25">
      <c r="A2074" s="65">
        <v>45426</v>
      </c>
      <c r="B2074" s="66">
        <v>22217.85</v>
      </c>
      <c r="C2074" s="66">
        <v>22112.9</v>
      </c>
      <c r="D2074" s="66">
        <v>22270.05</v>
      </c>
      <c r="E2074" s="66">
        <v>22081.25</v>
      </c>
      <c r="F2074" s="67" t="s">
        <v>676</v>
      </c>
      <c r="G2074" s="68">
        <v>5.1000000000000004E-3</v>
      </c>
      <c r="H2074" s="64"/>
    </row>
    <row r="2075" spans="1:8" x14ac:dyDescent="0.25">
      <c r="A2075" s="65">
        <v>45427</v>
      </c>
      <c r="B2075" s="66">
        <v>22200.55</v>
      </c>
      <c r="C2075" s="66">
        <v>22255.599999999999</v>
      </c>
      <c r="D2075" s="66">
        <v>22297.55</v>
      </c>
      <c r="E2075" s="66">
        <v>22151.75</v>
      </c>
      <c r="F2075" s="67" t="s">
        <v>675</v>
      </c>
      <c r="G2075" s="68">
        <v>-8.0000000000000004E-4</v>
      </c>
      <c r="H2075" s="64"/>
    </row>
    <row r="2076" spans="1:8" x14ac:dyDescent="0.25">
      <c r="A2076" s="65">
        <v>45428</v>
      </c>
      <c r="B2076" s="66">
        <v>22403.85</v>
      </c>
      <c r="C2076" s="66">
        <v>22319.200000000001</v>
      </c>
      <c r="D2076" s="66">
        <v>22432.25</v>
      </c>
      <c r="E2076" s="66">
        <v>22054.55</v>
      </c>
      <c r="F2076" s="67" t="s">
        <v>674</v>
      </c>
      <c r="G2076" s="68">
        <v>9.1999999999999998E-3</v>
      </c>
      <c r="H2076" s="64"/>
    </row>
    <row r="2077" spans="1:8" x14ac:dyDescent="0.25">
      <c r="A2077" s="65">
        <v>45429</v>
      </c>
      <c r="B2077" s="66">
        <v>22466.1</v>
      </c>
      <c r="C2077" s="66">
        <v>22415.25</v>
      </c>
      <c r="D2077" s="66">
        <v>22502.15</v>
      </c>
      <c r="E2077" s="66">
        <v>22345.65</v>
      </c>
      <c r="F2077" s="67" t="s">
        <v>673</v>
      </c>
      <c r="G2077" s="68">
        <v>2.8E-3</v>
      </c>
      <c r="H2077" s="64"/>
    </row>
    <row r="2078" spans="1:8" x14ac:dyDescent="0.25">
      <c r="A2078" s="65">
        <v>45430</v>
      </c>
      <c r="B2078" s="66">
        <v>22502</v>
      </c>
      <c r="C2078" s="66">
        <v>22512.85</v>
      </c>
      <c r="D2078" s="66">
        <v>22520.25</v>
      </c>
      <c r="E2078" s="66">
        <v>22470.05</v>
      </c>
      <c r="F2078" s="67" t="s">
        <v>672</v>
      </c>
      <c r="G2078" s="68">
        <v>1.6000000000000001E-3</v>
      </c>
      <c r="H2078" s="64"/>
    </row>
    <row r="2079" spans="1:8" x14ac:dyDescent="0.25">
      <c r="A2079" s="65">
        <v>45433</v>
      </c>
      <c r="B2079" s="66">
        <v>22529.05</v>
      </c>
      <c r="C2079" s="66">
        <v>22404.55</v>
      </c>
      <c r="D2079" s="66">
        <v>22591.1</v>
      </c>
      <c r="E2079" s="66">
        <v>22404.55</v>
      </c>
      <c r="F2079" s="67" t="s">
        <v>671</v>
      </c>
      <c r="G2079" s="68">
        <v>1.1999999999999999E-3</v>
      </c>
      <c r="H2079" s="64"/>
    </row>
    <row r="2080" spans="1:8" x14ac:dyDescent="0.25">
      <c r="A2080" s="65">
        <v>45434</v>
      </c>
      <c r="B2080" s="66">
        <v>22597.8</v>
      </c>
      <c r="C2080" s="66">
        <v>22576.6</v>
      </c>
      <c r="D2080" s="66">
        <v>22629.5</v>
      </c>
      <c r="E2080" s="66">
        <v>22483.15</v>
      </c>
      <c r="F2080" s="67" t="s">
        <v>670</v>
      </c>
      <c r="G2080" s="68">
        <v>3.0999999999999999E-3</v>
      </c>
      <c r="H2080" s="64"/>
    </row>
    <row r="2081" spans="1:8" x14ac:dyDescent="0.25">
      <c r="A2081" s="65">
        <v>45435</v>
      </c>
      <c r="B2081" s="66">
        <v>22967.65</v>
      </c>
      <c r="C2081" s="66">
        <v>22614.1</v>
      </c>
      <c r="D2081" s="66">
        <v>22993.599999999999</v>
      </c>
      <c r="E2081" s="66">
        <v>22577.45</v>
      </c>
      <c r="F2081" s="67" t="s">
        <v>669</v>
      </c>
      <c r="G2081" s="68">
        <v>1.6400000000000001E-2</v>
      </c>
      <c r="H2081" s="64"/>
    </row>
    <row r="2082" spans="1:8" x14ac:dyDescent="0.25">
      <c r="A2082" s="65">
        <v>45436</v>
      </c>
      <c r="B2082" s="66">
        <v>22957.1</v>
      </c>
      <c r="C2082" s="66">
        <v>22930.75</v>
      </c>
      <c r="D2082" s="66">
        <v>23026.400000000001</v>
      </c>
      <c r="E2082" s="66">
        <v>22908</v>
      </c>
      <c r="F2082" s="67" t="s">
        <v>668</v>
      </c>
      <c r="G2082" s="68">
        <v>-5.0000000000000001E-4</v>
      </c>
      <c r="H2082" s="64"/>
    </row>
    <row r="2083" spans="1:8" x14ac:dyDescent="0.25">
      <c r="A2083" s="65">
        <v>45439</v>
      </c>
      <c r="B2083" s="66">
        <v>22932.45</v>
      </c>
      <c r="C2083" s="66">
        <v>23038.95</v>
      </c>
      <c r="D2083" s="66">
        <v>23110.799999999999</v>
      </c>
      <c r="E2083" s="66">
        <v>22871.200000000001</v>
      </c>
      <c r="F2083" s="67" t="s">
        <v>667</v>
      </c>
      <c r="G2083" s="68">
        <v>-1.1000000000000001E-3</v>
      </c>
      <c r="H2083" s="64"/>
    </row>
    <row r="2084" spans="1:8" x14ac:dyDescent="0.25">
      <c r="A2084" s="65">
        <v>45440</v>
      </c>
      <c r="B2084" s="66">
        <v>22888.15</v>
      </c>
      <c r="C2084" s="66">
        <v>22977.15</v>
      </c>
      <c r="D2084" s="66">
        <v>22998.55</v>
      </c>
      <c r="E2084" s="66">
        <v>22858.5</v>
      </c>
      <c r="F2084" s="67" t="s">
        <v>666</v>
      </c>
      <c r="G2084" s="68">
        <v>-1.9E-3</v>
      </c>
      <c r="H2084" s="64"/>
    </row>
    <row r="2085" spans="1:8" x14ac:dyDescent="0.25">
      <c r="A2085" s="65">
        <v>45441</v>
      </c>
      <c r="B2085" s="66">
        <v>22704.7</v>
      </c>
      <c r="C2085" s="66">
        <v>22762.75</v>
      </c>
      <c r="D2085" s="66">
        <v>22825.5</v>
      </c>
      <c r="E2085" s="66">
        <v>22685.45</v>
      </c>
      <c r="F2085" s="67" t="s">
        <v>665</v>
      </c>
      <c r="G2085" s="68">
        <v>-8.0000000000000002E-3</v>
      </c>
      <c r="H2085" s="64"/>
    </row>
    <row r="2086" spans="1:8" x14ac:dyDescent="0.25">
      <c r="A2086" s="65">
        <v>45442</v>
      </c>
      <c r="B2086" s="66">
        <v>22488.65</v>
      </c>
      <c r="C2086" s="66">
        <v>22617.45</v>
      </c>
      <c r="D2086" s="66">
        <v>22705.75</v>
      </c>
      <c r="E2086" s="66">
        <v>22417</v>
      </c>
      <c r="F2086" s="67" t="s">
        <v>664</v>
      </c>
      <c r="G2086" s="68">
        <v>-9.4999999999999998E-3</v>
      </c>
      <c r="H2086" s="64"/>
    </row>
    <row r="2087" spans="1:8" x14ac:dyDescent="0.25">
      <c r="A2087" s="65">
        <v>45443</v>
      </c>
      <c r="B2087" s="66">
        <v>22530.7</v>
      </c>
      <c r="C2087" s="66">
        <v>22568.1</v>
      </c>
      <c r="D2087" s="66">
        <v>22653.75</v>
      </c>
      <c r="E2087" s="66">
        <v>22465.1</v>
      </c>
      <c r="F2087" s="67" t="s">
        <v>663</v>
      </c>
      <c r="G2087" s="68">
        <v>1.9E-3</v>
      </c>
      <c r="H2087" s="64"/>
    </row>
    <row r="2088" spans="1:8" x14ac:dyDescent="0.25">
      <c r="A2088" s="65">
        <v>45446</v>
      </c>
      <c r="B2088" s="66">
        <v>23263.9</v>
      </c>
      <c r="C2088" s="66">
        <v>23337.9</v>
      </c>
      <c r="D2088" s="66">
        <v>23338.7</v>
      </c>
      <c r="E2088" s="66">
        <v>23062.3</v>
      </c>
      <c r="F2088" s="67" t="s">
        <v>662</v>
      </c>
      <c r="G2088" s="68">
        <v>3.2500000000000001E-2</v>
      </c>
      <c r="H2088" s="64"/>
    </row>
    <row r="2089" spans="1:8" x14ac:dyDescent="0.25">
      <c r="A2089" s="65">
        <v>45447</v>
      </c>
      <c r="B2089" s="66">
        <v>21884.5</v>
      </c>
      <c r="C2089" s="66">
        <v>23179.5</v>
      </c>
      <c r="D2089" s="66">
        <v>23179.5</v>
      </c>
      <c r="E2089" s="66">
        <v>21281.45</v>
      </c>
      <c r="F2089" s="67" t="s">
        <v>661</v>
      </c>
      <c r="G2089" s="68">
        <v>-5.9299999999999999E-2</v>
      </c>
      <c r="H2089" s="64"/>
    </row>
    <row r="2090" spans="1:8" x14ac:dyDescent="0.25">
      <c r="A2090" s="65">
        <v>45448</v>
      </c>
      <c r="B2090" s="66">
        <v>22620.35</v>
      </c>
      <c r="C2090" s="66">
        <v>22128.35</v>
      </c>
      <c r="D2090" s="66">
        <v>22670.400000000001</v>
      </c>
      <c r="E2090" s="66">
        <v>21791.95</v>
      </c>
      <c r="F2090" s="67" t="s">
        <v>660</v>
      </c>
      <c r="G2090" s="68">
        <v>3.3599999999999998E-2</v>
      </c>
      <c r="H2090" s="64"/>
    </row>
    <row r="2091" spans="1:8" x14ac:dyDescent="0.25">
      <c r="A2091" s="65">
        <v>45449</v>
      </c>
      <c r="B2091" s="66">
        <v>22821.4</v>
      </c>
      <c r="C2091" s="66">
        <v>22798.6</v>
      </c>
      <c r="D2091" s="66">
        <v>22910.15</v>
      </c>
      <c r="E2091" s="66">
        <v>22642.6</v>
      </c>
      <c r="F2091" s="67" t="s">
        <v>659</v>
      </c>
      <c r="G2091" s="68">
        <v>8.8999999999999999E-3</v>
      </c>
      <c r="H2091" s="64"/>
    </row>
    <row r="2092" spans="1:8" x14ac:dyDescent="0.25">
      <c r="A2092" s="65">
        <v>45450</v>
      </c>
      <c r="B2092" s="66">
        <v>23290.15</v>
      </c>
      <c r="C2092" s="66">
        <v>22821.85</v>
      </c>
      <c r="D2092" s="66">
        <v>23320.2</v>
      </c>
      <c r="E2092" s="66">
        <v>22789.05</v>
      </c>
      <c r="F2092" s="67" t="s">
        <v>658</v>
      </c>
      <c r="G2092" s="68">
        <v>2.0500000000000001E-2</v>
      </c>
      <c r="H2092" s="64"/>
    </row>
    <row r="2093" spans="1:8" x14ac:dyDescent="0.25">
      <c r="A2093" s="65">
        <v>45453</v>
      </c>
      <c r="B2093" s="66">
        <v>23259.200000000001</v>
      </c>
      <c r="C2093" s="66">
        <v>23319.15</v>
      </c>
      <c r="D2093" s="66">
        <v>23411.9</v>
      </c>
      <c r="E2093" s="66">
        <v>23227.15</v>
      </c>
      <c r="F2093" s="67" t="s">
        <v>657</v>
      </c>
      <c r="G2093" s="68">
        <v>-1.2999999999999999E-3</v>
      </c>
      <c r="H2093" s="64"/>
    </row>
    <row r="2094" spans="1:8" x14ac:dyDescent="0.25">
      <c r="A2094" s="65">
        <v>45454</v>
      </c>
      <c r="B2094" s="66">
        <v>23264.85</v>
      </c>
      <c r="C2094" s="66">
        <v>23283.75</v>
      </c>
      <c r="D2094" s="66">
        <v>23389.45</v>
      </c>
      <c r="E2094" s="66">
        <v>23206.65</v>
      </c>
      <c r="F2094" s="67" t="s">
        <v>656</v>
      </c>
      <c r="G2094" s="68">
        <v>2.0000000000000001E-4</v>
      </c>
      <c r="H2094" s="64"/>
    </row>
    <row r="2095" spans="1:8" x14ac:dyDescent="0.25">
      <c r="A2095" s="65">
        <v>45455</v>
      </c>
      <c r="B2095" s="66">
        <v>23322.95</v>
      </c>
      <c r="C2095" s="66">
        <v>23344.45</v>
      </c>
      <c r="D2095" s="66">
        <v>23441.95</v>
      </c>
      <c r="E2095" s="66">
        <v>23295.95</v>
      </c>
      <c r="F2095" s="67" t="s">
        <v>655</v>
      </c>
      <c r="G2095" s="68">
        <v>2.5000000000000001E-3</v>
      </c>
      <c r="H2095" s="64"/>
    </row>
    <row r="2096" spans="1:8" x14ac:dyDescent="0.25">
      <c r="A2096" s="65">
        <v>45456</v>
      </c>
      <c r="B2096" s="66">
        <v>23398.9</v>
      </c>
      <c r="C2096" s="66">
        <v>23480.95</v>
      </c>
      <c r="D2096" s="66">
        <v>23481.05</v>
      </c>
      <c r="E2096" s="66">
        <v>23353.9</v>
      </c>
      <c r="F2096" s="67" t="s">
        <v>654</v>
      </c>
      <c r="G2096" s="68">
        <v>3.3E-3</v>
      </c>
      <c r="H2096" s="64"/>
    </row>
    <row r="2097" spans="1:8" x14ac:dyDescent="0.25">
      <c r="A2097" s="65">
        <v>45457</v>
      </c>
      <c r="B2097" s="66">
        <v>23465.599999999999</v>
      </c>
      <c r="C2097" s="66">
        <v>23464.95</v>
      </c>
      <c r="D2097" s="66">
        <v>23490.400000000001</v>
      </c>
      <c r="E2097" s="66">
        <v>23334.25</v>
      </c>
      <c r="F2097" s="67" t="s">
        <v>653</v>
      </c>
      <c r="G2097" s="68">
        <v>2.8999999999999998E-3</v>
      </c>
      <c r="H2097" s="64"/>
    </row>
    <row r="2098" spans="1:8" x14ac:dyDescent="0.25">
      <c r="A2098" s="65">
        <v>45461</v>
      </c>
      <c r="B2098" s="66">
        <v>23557.9</v>
      </c>
      <c r="C2098" s="66">
        <v>23570.799999999999</v>
      </c>
      <c r="D2098" s="66">
        <v>23579.05</v>
      </c>
      <c r="E2098" s="66">
        <v>23499.7</v>
      </c>
      <c r="F2098" s="67" t="s">
        <v>652</v>
      </c>
      <c r="G2098" s="68">
        <v>3.8999999999999998E-3</v>
      </c>
      <c r="H2098" s="64"/>
    </row>
    <row r="2099" spans="1:8" x14ac:dyDescent="0.25">
      <c r="A2099" s="65">
        <v>45462</v>
      </c>
      <c r="B2099" s="66">
        <v>23516</v>
      </c>
      <c r="C2099" s="66">
        <v>23629.85</v>
      </c>
      <c r="D2099" s="66">
        <v>23664</v>
      </c>
      <c r="E2099" s="66">
        <v>23412.9</v>
      </c>
      <c r="F2099" s="67" t="s">
        <v>651</v>
      </c>
      <c r="G2099" s="68">
        <v>-1.8E-3</v>
      </c>
      <c r="H2099" s="64"/>
    </row>
    <row r="2100" spans="1:8" x14ac:dyDescent="0.25">
      <c r="A2100" s="65">
        <v>45463</v>
      </c>
      <c r="B2100" s="66">
        <v>23567</v>
      </c>
      <c r="C2100" s="66">
        <v>23586.15</v>
      </c>
      <c r="D2100" s="66">
        <v>23624</v>
      </c>
      <c r="E2100" s="66">
        <v>23442.6</v>
      </c>
      <c r="F2100" s="67" t="s">
        <v>650</v>
      </c>
      <c r="G2100" s="68">
        <v>2.2000000000000001E-3</v>
      </c>
      <c r="H2100" s="64"/>
    </row>
    <row r="2101" spans="1:8" x14ac:dyDescent="0.25">
      <c r="A2101" s="65">
        <v>45464</v>
      </c>
      <c r="B2101" s="66">
        <v>23501.1</v>
      </c>
      <c r="C2101" s="66">
        <v>23661.15</v>
      </c>
      <c r="D2101" s="66">
        <v>23667.1</v>
      </c>
      <c r="E2101" s="66">
        <v>23398.2</v>
      </c>
      <c r="F2101" s="67" t="s">
        <v>649</v>
      </c>
      <c r="G2101" s="68">
        <v>-2.8E-3</v>
      </c>
      <c r="H2101" s="64"/>
    </row>
    <row r="2102" spans="1:8" x14ac:dyDescent="0.25">
      <c r="A2102" s="65">
        <v>45467</v>
      </c>
      <c r="B2102" s="66">
        <v>23537.85</v>
      </c>
      <c r="C2102" s="66">
        <v>23382.3</v>
      </c>
      <c r="D2102" s="66">
        <v>23558.1</v>
      </c>
      <c r="E2102" s="66">
        <v>23350</v>
      </c>
      <c r="F2102" s="67" t="s">
        <v>648</v>
      </c>
      <c r="G2102" s="68">
        <v>1.6000000000000001E-3</v>
      </c>
      <c r="H2102" s="64"/>
    </row>
    <row r="2103" spans="1:8" x14ac:dyDescent="0.25">
      <c r="A2103" s="65">
        <v>45468</v>
      </c>
      <c r="B2103" s="66">
        <v>23721.3</v>
      </c>
      <c r="C2103" s="66">
        <v>23577.1</v>
      </c>
      <c r="D2103" s="66">
        <v>23754.15</v>
      </c>
      <c r="E2103" s="66">
        <v>23562.05</v>
      </c>
      <c r="F2103" s="67" t="s">
        <v>647</v>
      </c>
      <c r="G2103" s="68">
        <v>7.7999999999999996E-3</v>
      </c>
      <c r="H2103" s="64"/>
    </row>
    <row r="2104" spans="1:8" x14ac:dyDescent="0.25">
      <c r="A2104" s="65">
        <v>45469</v>
      </c>
      <c r="B2104" s="66">
        <v>23868.799999999999</v>
      </c>
      <c r="C2104" s="66">
        <v>23723.1</v>
      </c>
      <c r="D2104" s="66">
        <v>23889.9</v>
      </c>
      <c r="E2104" s="66">
        <v>23670.45</v>
      </c>
      <c r="F2104" s="67" t="s">
        <v>646</v>
      </c>
      <c r="G2104" s="68">
        <v>6.1999999999999998E-3</v>
      </c>
      <c r="H2104" s="64"/>
    </row>
    <row r="2105" spans="1:8" x14ac:dyDescent="0.25">
      <c r="A2105" s="65">
        <v>45470</v>
      </c>
      <c r="B2105" s="66">
        <v>24044.5</v>
      </c>
      <c r="C2105" s="66">
        <v>23881.55</v>
      </c>
      <c r="D2105" s="66">
        <v>24087.45</v>
      </c>
      <c r="E2105" s="66">
        <v>23805.4</v>
      </c>
      <c r="F2105" s="67" t="s">
        <v>645</v>
      </c>
      <c r="G2105" s="68">
        <v>7.4000000000000003E-3</v>
      </c>
      <c r="H2105" s="64"/>
    </row>
    <row r="2106" spans="1:8" x14ac:dyDescent="0.25">
      <c r="A2106" s="65">
        <v>45471</v>
      </c>
      <c r="B2106" s="66">
        <v>24010.6</v>
      </c>
      <c r="C2106" s="66">
        <v>24085.9</v>
      </c>
      <c r="D2106" s="66">
        <v>24174</v>
      </c>
      <c r="E2106" s="66">
        <v>23985.8</v>
      </c>
      <c r="F2106" s="67" t="s">
        <v>644</v>
      </c>
      <c r="G2106" s="68">
        <v>-1.4E-3</v>
      </c>
      <c r="H2106" s="64"/>
    </row>
    <row r="2107" spans="1:8" x14ac:dyDescent="0.25">
      <c r="A2107" s="65">
        <v>45474</v>
      </c>
      <c r="B2107" s="66">
        <v>24141.95</v>
      </c>
      <c r="C2107" s="66">
        <v>23992.95</v>
      </c>
      <c r="D2107" s="66">
        <v>24164</v>
      </c>
      <c r="E2107" s="66">
        <v>23992.7</v>
      </c>
      <c r="F2107" s="67" t="s">
        <v>643</v>
      </c>
      <c r="G2107" s="68">
        <v>5.4999999999999997E-3</v>
      </c>
      <c r="H2107" s="64"/>
    </row>
    <row r="2108" spans="1:8" x14ac:dyDescent="0.25">
      <c r="A2108" s="65">
        <v>45475</v>
      </c>
      <c r="B2108" s="66">
        <v>24123.85</v>
      </c>
      <c r="C2108" s="66">
        <v>24228.75</v>
      </c>
      <c r="D2108" s="66">
        <v>24236.35</v>
      </c>
      <c r="E2108" s="66">
        <v>24056.400000000001</v>
      </c>
      <c r="F2108" s="67" t="s">
        <v>642</v>
      </c>
      <c r="G2108" s="68">
        <v>-6.9999999999999999E-4</v>
      </c>
      <c r="H2108" s="64"/>
    </row>
    <row r="2109" spans="1:8" x14ac:dyDescent="0.25">
      <c r="A2109" s="65">
        <v>45476</v>
      </c>
      <c r="B2109" s="66">
        <v>24286.5</v>
      </c>
      <c r="C2109" s="66">
        <v>24291.75</v>
      </c>
      <c r="D2109" s="66">
        <v>24309.15</v>
      </c>
      <c r="E2109" s="66">
        <v>24207.1</v>
      </c>
      <c r="F2109" s="67" t="s">
        <v>641</v>
      </c>
      <c r="G2109" s="68">
        <v>6.7000000000000002E-3</v>
      </c>
      <c r="H2109" s="64"/>
    </row>
    <row r="2110" spans="1:8" x14ac:dyDescent="0.25">
      <c r="A2110" s="65">
        <v>45477</v>
      </c>
      <c r="B2110" s="66">
        <v>24302.15</v>
      </c>
      <c r="C2110" s="66">
        <v>24369.95</v>
      </c>
      <c r="D2110" s="66">
        <v>24401</v>
      </c>
      <c r="E2110" s="66">
        <v>24281</v>
      </c>
      <c r="F2110" s="67" t="s">
        <v>640</v>
      </c>
      <c r="G2110" s="68">
        <v>5.9999999999999995E-4</v>
      </c>
      <c r="H2110" s="64"/>
    </row>
    <row r="2111" spans="1:8" x14ac:dyDescent="0.25">
      <c r="A2111" s="65">
        <v>45478</v>
      </c>
      <c r="B2111" s="66">
        <v>24323.85</v>
      </c>
      <c r="C2111" s="66">
        <v>24213.35</v>
      </c>
      <c r="D2111" s="66">
        <v>24363</v>
      </c>
      <c r="E2111" s="66">
        <v>24168.85</v>
      </c>
      <c r="F2111" s="67" t="s">
        <v>639</v>
      </c>
      <c r="G2111" s="68">
        <v>8.9999999999999998E-4</v>
      </c>
      <c r="H2111" s="64"/>
    </row>
    <row r="2112" spans="1:8" x14ac:dyDescent="0.25">
      <c r="A2112" s="65">
        <v>45481</v>
      </c>
      <c r="B2112" s="66">
        <v>24320.55</v>
      </c>
      <c r="C2112" s="66">
        <v>24329.45</v>
      </c>
      <c r="D2112" s="66">
        <v>24344.6</v>
      </c>
      <c r="E2112" s="66">
        <v>24240.55</v>
      </c>
      <c r="F2112" s="67" t="s">
        <v>638</v>
      </c>
      <c r="G2112" s="68">
        <v>-1E-4</v>
      </c>
      <c r="H2112" s="64"/>
    </row>
    <row r="2113" spans="1:8" x14ac:dyDescent="0.25">
      <c r="A2113" s="65">
        <v>45482</v>
      </c>
      <c r="B2113" s="66">
        <v>24433.200000000001</v>
      </c>
      <c r="C2113" s="66">
        <v>24351</v>
      </c>
      <c r="D2113" s="66">
        <v>24443.599999999999</v>
      </c>
      <c r="E2113" s="66">
        <v>24331.9</v>
      </c>
      <c r="F2113" s="67" t="s">
        <v>637</v>
      </c>
      <c r="G2113" s="68">
        <v>4.5999999999999999E-3</v>
      </c>
      <c r="H2113" s="64"/>
    </row>
    <row r="2114" spans="1:8" x14ac:dyDescent="0.25">
      <c r="A2114" s="65">
        <v>45483</v>
      </c>
      <c r="B2114" s="66">
        <v>24324.45</v>
      </c>
      <c r="C2114" s="66">
        <v>24459.85</v>
      </c>
      <c r="D2114" s="66">
        <v>24461.05</v>
      </c>
      <c r="E2114" s="66">
        <v>24141.8</v>
      </c>
      <c r="F2114" s="67" t="s">
        <v>636</v>
      </c>
      <c r="G2114" s="68">
        <v>-4.4999999999999997E-3</v>
      </c>
      <c r="H2114" s="64"/>
    </row>
    <row r="2115" spans="1:8" x14ac:dyDescent="0.25">
      <c r="A2115" s="65">
        <v>45484</v>
      </c>
      <c r="B2115" s="66">
        <v>24315.95</v>
      </c>
      <c r="C2115" s="66">
        <v>24396.55</v>
      </c>
      <c r="D2115" s="66">
        <v>24402.65</v>
      </c>
      <c r="E2115" s="66">
        <v>24193.75</v>
      </c>
      <c r="F2115" s="67" t="s">
        <v>635</v>
      </c>
      <c r="G2115" s="68">
        <v>-2.9999999999999997E-4</v>
      </c>
      <c r="H2115" s="64"/>
    </row>
    <row r="2116" spans="1:8" x14ac:dyDescent="0.25">
      <c r="A2116" s="65">
        <v>45485</v>
      </c>
      <c r="B2116" s="66">
        <v>24502.15</v>
      </c>
      <c r="C2116" s="66">
        <v>24387.95</v>
      </c>
      <c r="D2116" s="66">
        <v>24592.2</v>
      </c>
      <c r="E2116" s="66">
        <v>24331.15</v>
      </c>
      <c r="F2116" s="67" t="s">
        <v>634</v>
      </c>
      <c r="G2116" s="68">
        <v>7.7000000000000002E-3</v>
      </c>
      <c r="H2116" s="64"/>
    </row>
    <row r="2117" spans="1:8" x14ac:dyDescent="0.25">
      <c r="A2117" s="65">
        <v>45488</v>
      </c>
      <c r="B2117" s="66">
        <v>24586.7</v>
      </c>
      <c r="C2117" s="66">
        <v>24587.599999999999</v>
      </c>
      <c r="D2117" s="66">
        <v>24635.05</v>
      </c>
      <c r="E2117" s="66">
        <v>24522.75</v>
      </c>
      <c r="F2117" s="67" t="s">
        <v>633</v>
      </c>
      <c r="G2117" s="68">
        <v>3.5000000000000001E-3</v>
      </c>
      <c r="H2117" s="64"/>
    </row>
    <row r="2118" spans="1:8" x14ac:dyDescent="0.25">
      <c r="A2118" s="65">
        <v>45489</v>
      </c>
      <c r="B2118" s="66">
        <v>24613</v>
      </c>
      <c r="C2118" s="66">
        <v>24615.9</v>
      </c>
      <c r="D2118" s="66">
        <v>24661.25</v>
      </c>
      <c r="E2118" s="66">
        <v>24587.65</v>
      </c>
      <c r="F2118" s="67" t="s">
        <v>632</v>
      </c>
      <c r="G2118" s="68">
        <v>1.1000000000000001E-3</v>
      </c>
      <c r="H2118" s="64"/>
    </row>
    <row r="2119" spans="1:8" x14ac:dyDescent="0.25">
      <c r="A2119" s="65">
        <v>45491</v>
      </c>
      <c r="B2119" s="66">
        <v>24800.85</v>
      </c>
      <c r="C2119" s="66">
        <v>24543.8</v>
      </c>
      <c r="D2119" s="66">
        <v>24837.75</v>
      </c>
      <c r="E2119" s="66">
        <v>24504.45</v>
      </c>
      <c r="F2119" s="67" t="s">
        <v>631</v>
      </c>
      <c r="G2119" s="68">
        <v>7.6E-3</v>
      </c>
      <c r="H2119" s="64"/>
    </row>
    <row r="2120" spans="1:8" x14ac:dyDescent="0.25">
      <c r="A2120" s="65">
        <v>45492</v>
      </c>
      <c r="B2120" s="66">
        <v>24530.9</v>
      </c>
      <c r="C2120" s="66">
        <v>24853.8</v>
      </c>
      <c r="D2120" s="66">
        <v>24854.799999999999</v>
      </c>
      <c r="E2120" s="66">
        <v>24508.15</v>
      </c>
      <c r="F2120" s="67" t="s">
        <v>630</v>
      </c>
      <c r="G2120" s="68">
        <v>-1.09E-2</v>
      </c>
      <c r="H2120" s="64"/>
    </row>
    <row r="2121" spans="1:8" x14ac:dyDescent="0.25">
      <c r="A2121" s="65">
        <v>45495</v>
      </c>
      <c r="B2121" s="66">
        <v>24509.25</v>
      </c>
      <c r="C2121" s="66">
        <v>24445.75</v>
      </c>
      <c r="D2121" s="66">
        <v>24595.200000000001</v>
      </c>
      <c r="E2121" s="66">
        <v>24362.3</v>
      </c>
      <c r="F2121" s="67" t="s">
        <v>629</v>
      </c>
      <c r="G2121" s="68">
        <v>-8.9999999999999998E-4</v>
      </c>
      <c r="H2121" s="64"/>
    </row>
    <row r="2122" spans="1:8" x14ac:dyDescent="0.25">
      <c r="A2122" s="65">
        <v>45496</v>
      </c>
      <c r="B2122" s="66">
        <v>24479.05</v>
      </c>
      <c r="C2122" s="66">
        <v>24568.9</v>
      </c>
      <c r="D2122" s="66">
        <v>24582.55</v>
      </c>
      <c r="E2122" s="66">
        <v>24074.2</v>
      </c>
      <c r="F2122" s="67" t="s">
        <v>628</v>
      </c>
      <c r="G2122" s="68">
        <v>-1.1999999999999999E-3</v>
      </c>
      <c r="H2122" s="64"/>
    </row>
    <row r="2123" spans="1:8" x14ac:dyDescent="0.25">
      <c r="A2123" s="65">
        <v>45497</v>
      </c>
      <c r="B2123" s="66">
        <v>24413.5</v>
      </c>
      <c r="C2123" s="66">
        <v>24444.95</v>
      </c>
      <c r="D2123" s="66">
        <v>24504.25</v>
      </c>
      <c r="E2123" s="66">
        <v>24307.25</v>
      </c>
      <c r="F2123" s="67" t="s">
        <v>627</v>
      </c>
      <c r="G2123" s="68">
        <v>-2.7000000000000001E-3</v>
      </c>
      <c r="H2123" s="64"/>
    </row>
    <row r="2124" spans="1:8" x14ac:dyDescent="0.25">
      <c r="A2124" s="65">
        <v>45498</v>
      </c>
      <c r="B2124" s="66">
        <v>24406.1</v>
      </c>
      <c r="C2124" s="66">
        <v>24230.95</v>
      </c>
      <c r="D2124" s="66">
        <v>24426.15</v>
      </c>
      <c r="E2124" s="66">
        <v>24210.799999999999</v>
      </c>
      <c r="F2124" s="67" t="s">
        <v>626</v>
      </c>
      <c r="G2124" s="68">
        <v>-2.9999999999999997E-4</v>
      </c>
      <c r="H2124" s="64"/>
    </row>
    <row r="2125" spans="1:8" x14ac:dyDescent="0.25">
      <c r="A2125" s="65">
        <v>45499</v>
      </c>
      <c r="B2125" s="66">
        <v>24834.85</v>
      </c>
      <c r="C2125" s="66">
        <v>24423.35</v>
      </c>
      <c r="D2125" s="66">
        <v>24861.15</v>
      </c>
      <c r="E2125" s="66">
        <v>24410.9</v>
      </c>
      <c r="F2125" s="67" t="s">
        <v>625</v>
      </c>
      <c r="G2125" s="68">
        <v>1.7600000000000001E-2</v>
      </c>
      <c r="H2125" s="64"/>
    </row>
    <row r="2126" spans="1:8" x14ac:dyDescent="0.25">
      <c r="A2126" s="65">
        <v>45502</v>
      </c>
      <c r="B2126" s="66">
        <v>24836.1</v>
      </c>
      <c r="C2126" s="66">
        <v>24943.3</v>
      </c>
      <c r="D2126" s="66">
        <v>24999.75</v>
      </c>
      <c r="E2126" s="66">
        <v>24774.6</v>
      </c>
      <c r="F2126" s="67" t="s">
        <v>624</v>
      </c>
      <c r="G2126" s="68">
        <v>1E-4</v>
      </c>
      <c r="H2126" s="64"/>
    </row>
    <row r="2127" spans="1:8" x14ac:dyDescent="0.25">
      <c r="A2127" s="65">
        <v>45503</v>
      </c>
      <c r="B2127" s="66">
        <v>24857.3</v>
      </c>
      <c r="C2127" s="66">
        <v>24839.4</v>
      </c>
      <c r="D2127" s="66">
        <v>24971.75</v>
      </c>
      <c r="E2127" s="66">
        <v>24798.65</v>
      </c>
      <c r="F2127" s="67" t="s">
        <v>623</v>
      </c>
      <c r="G2127" s="68">
        <v>8.9999999999999998E-4</v>
      </c>
      <c r="H2127" s="64"/>
    </row>
    <row r="2128" spans="1:8" x14ac:dyDescent="0.25">
      <c r="A2128" s="65">
        <v>45504</v>
      </c>
      <c r="B2128" s="66">
        <v>24951.15</v>
      </c>
      <c r="C2128" s="66">
        <v>24886.7</v>
      </c>
      <c r="D2128" s="66">
        <v>24984.6</v>
      </c>
      <c r="E2128" s="66">
        <v>24856.5</v>
      </c>
      <c r="F2128" s="67" t="s">
        <v>622</v>
      </c>
      <c r="G2128" s="68">
        <v>3.8E-3</v>
      </c>
      <c r="H2128" s="64"/>
    </row>
    <row r="2129" spans="1:8" x14ac:dyDescent="0.25">
      <c r="A2129" s="65">
        <v>45505</v>
      </c>
      <c r="B2129" s="66">
        <v>25010.9</v>
      </c>
      <c r="C2129" s="66">
        <v>25030.95</v>
      </c>
      <c r="D2129" s="66">
        <v>25078.3</v>
      </c>
      <c r="E2129" s="66">
        <v>24956.400000000001</v>
      </c>
      <c r="F2129" s="67" t="s">
        <v>621</v>
      </c>
      <c r="G2129" s="68">
        <v>2.3999999999999998E-3</v>
      </c>
      <c r="H2129" s="64"/>
    </row>
    <row r="2130" spans="1:8" x14ac:dyDescent="0.25">
      <c r="A2130" s="65">
        <v>45506</v>
      </c>
      <c r="B2130" s="66">
        <v>24717.7</v>
      </c>
      <c r="C2130" s="66">
        <v>24789</v>
      </c>
      <c r="D2130" s="66">
        <v>24851.9</v>
      </c>
      <c r="E2130" s="66">
        <v>24686.85</v>
      </c>
      <c r="F2130" s="67" t="s">
        <v>620</v>
      </c>
      <c r="G2130" s="68">
        <v>-1.17E-2</v>
      </c>
      <c r="H2130" s="64"/>
    </row>
    <row r="2131" spans="1:8" x14ac:dyDescent="0.25">
      <c r="A2131" s="65">
        <v>45509</v>
      </c>
      <c r="B2131" s="66">
        <v>24055.599999999999</v>
      </c>
      <c r="C2131" s="66">
        <v>24302.85</v>
      </c>
      <c r="D2131" s="66">
        <v>24350.05</v>
      </c>
      <c r="E2131" s="66">
        <v>23893.7</v>
      </c>
      <c r="F2131" s="67" t="s">
        <v>619</v>
      </c>
      <c r="G2131" s="68">
        <v>-2.6800000000000001E-2</v>
      </c>
      <c r="H2131" s="64"/>
    </row>
    <row r="2132" spans="1:8" x14ac:dyDescent="0.25">
      <c r="A2132" s="65">
        <v>45510</v>
      </c>
      <c r="B2132" s="66">
        <v>23992.55</v>
      </c>
      <c r="C2132" s="66">
        <v>24189.85</v>
      </c>
      <c r="D2132" s="66">
        <v>24382.6</v>
      </c>
      <c r="E2132" s="66">
        <v>23960.400000000001</v>
      </c>
      <c r="F2132" s="67" t="s">
        <v>618</v>
      </c>
      <c r="G2132" s="68">
        <v>-2.5999999999999999E-3</v>
      </c>
      <c r="H2132" s="64"/>
    </row>
    <row r="2133" spans="1:8" x14ac:dyDescent="0.25">
      <c r="A2133" s="65">
        <v>45511</v>
      </c>
      <c r="B2133" s="66">
        <v>24297.5</v>
      </c>
      <c r="C2133" s="66">
        <v>24289.4</v>
      </c>
      <c r="D2133" s="66">
        <v>24337.7</v>
      </c>
      <c r="E2133" s="66">
        <v>24184.9</v>
      </c>
      <c r="F2133" s="67" t="s">
        <v>617</v>
      </c>
      <c r="G2133" s="68">
        <v>1.2699999999999999E-2</v>
      </c>
      <c r="H2133" s="64"/>
    </row>
    <row r="2134" spans="1:8" x14ac:dyDescent="0.25">
      <c r="A2134" s="65">
        <v>45512</v>
      </c>
      <c r="B2134" s="66">
        <v>24117</v>
      </c>
      <c r="C2134" s="66">
        <v>24248.55</v>
      </c>
      <c r="D2134" s="66">
        <v>24340.5</v>
      </c>
      <c r="E2134" s="66">
        <v>24079.7</v>
      </c>
      <c r="F2134" s="67" t="s">
        <v>616</v>
      </c>
      <c r="G2134" s="68">
        <v>-7.4000000000000003E-3</v>
      </c>
      <c r="H2134" s="64"/>
    </row>
    <row r="2135" spans="1:8" x14ac:dyDescent="0.25">
      <c r="A2135" s="65">
        <v>45513</v>
      </c>
      <c r="B2135" s="66">
        <v>24367.5</v>
      </c>
      <c r="C2135" s="66">
        <v>24386.85</v>
      </c>
      <c r="D2135" s="66">
        <v>24419.75</v>
      </c>
      <c r="E2135" s="66">
        <v>24311.200000000001</v>
      </c>
      <c r="F2135" s="67" t="s">
        <v>615</v>
      </c>
      <c r="G2135" s="68">
        <v>1.04E-2</v>
      </c>
      <c r="H2135" s="64"/>
    </row>
    <row r="2136" spans="1:8" x14ac:dyDescent="0.25">
      <c r="A2136" s="65">
        <v>45516</v>
      </c>
      <c r="B2136" s="66">
        <v>24347</v>
      </c>
      <c r="C2136" s="66">
        <v>24320.05</v>
      </c>
      <c r="D2136" s="66">
        <v>24472.799999999999</v>
      </c>
      <c r="E2136" s="66">
        <v>24212.1</v>
      </c>
      <c r="F2136" s="67" t="s">
        <v>614</v>
      </c>
      <c r="G2136" s="68">
        <v>-8.0000000000000004E-4</v>
      </c>
      <c r="H2136" s="64"/>
    </row>
    <row r="2137" spans="1:8" x14ac:dyDescent="0.25">
      <c r="A2137" s="65">
        <v>45517</v>
      </c>
      <c r="B2137" s="66">
        <v>24139</v>
      </c>
      <c r="C2137" s="66">
        <v>24342.35</v>
      </c>
      <c r="D2137" s="66">
        <v>24359.95</v>
      </c>
      <c r="E2137" s="66">
        <v>24116.5</v>
      </c>
      <c r="F2137" s="67" t="s">
        <v>613</v>
      </c>
      <c r="G2137" s="68">
        <v>-8.5000000000000006E-3</v>
      </c>
      <c r="H2137" s="64"/>
    </row>
    <row r="2138" spans="1:8" x14ac:dyDescent="0.25">
      <c r="A2138" s="65">
        <v>45518</v>
      </c>
      <c r="B2138" s="66">
        <v>24143.75</v>
      </c>
      <c r="C2138" s="66">
        <v>24184.400000000001</v>
      </c>
      <c r="D2138" s="66">
        <v>24196.5</v>
      </c>
      <c r="E2138" s="66">
        <v>24099.7</v>
      </c>
      <c r="F2138" s="67" t="s">
        <v>612</v>
      </c>
      <c r="G2138" s="68">
        <v>2.0000000000000001E-4</v>
      </c>
      <c r="H2138" s="64"/>
    </row>
    <row r="2139" spans="1:8" x14ac:dyDescent="0.25">
      <c r="A2139" s="65">
        <v>45520</v>
      </c>
      <c r="B2139" s="66">
        <v>24541.15</v>
      </c>
      <c r="C2139" s="66">
        <v>24334.85</v>
      </c>
      <c r="D2139" s="66">
        <v>24563.9</v>
      </c>
      <c r="E2139" s="66">
        <v>24204.5</v>
      </c>
      <c r="F2139" s="67" t="s">
        <v>611</v>
      </c>
      <c r="G2139" s="68">
        <v>1.6500000000000001E-2</v>
      </c>
      <c r="H2139" s="64"/>
    </row>
    <row r="2140" spans="1:8" x14ac:dyDescent="0.25">
      <c r="A2140" s="65">
        <v>45523</v>
      </c>
      <c r="B2140" s="66">
        <v>24572.65</v>
      </c>
      <c r="C2140" s="66">
        <v>24636.35</v>
      </c>
      <c r="D2140" s="66">
        <v>24638.799999999999</v>
      </c>
      <c r="E2140" s="66">
        <v>24522.95</v>
      </c>
      <c r="F2140" s="67" t="s">
        <v>610</v>
      </c>
      <c r="G2140" s="68">
        <v>1.2999999999999999E-3</v>
      </c>
      <c r="H2140" s="64"/>
    </row>
    <row r="2141" spans="1:8" x14ac:dyDescent="0.25">
      <c r="A2141" s="65">
        <v>45524</v>
      </c>
      <c r="B2141" s="66">
        <v>24698.85</v>
      </c>
      <c r="C2141" s="66">
        <v>24648.9</v>
      </c>
      <c r="D2141" s="66">
        <v>24734.3</v>
      </c>
      <c r="E2141" s="66">
        <v>24607.200000000001</v>
      </c>
      <c r="F2141" s="67" t="s">
        <v>609</v>
      </c>
      <c r="G2141" s="68">
        <v>5.1000000000000004E-3</v>
      </c>
      <c r="H2141" s="64"/>
    </row>
    <row r="2142" spans="1:8" x14ac:dyDescent="0.25">
      <c r="A2142" s="65">
        <v>45525</v>
      </c>
      <c r="B2142" s="66">
        <v>24770.2</v>
      </c>
      <c r="C2142" s="66">
        <v>24680.55</v>
      </c>
      <c r="D2142" s="66">
        <v>24787.95</v>
      </c>
      <c r="E2142" s="66">
        <v>24654.5</v>
      </c>
      <c r="F2142" s="67" t="s">
        <v>608</v>
      </c>
      <c r="G2142" s="68">
        <v>2.8999999999999998E-3</v>
      </c>
      <c r="H2142" s="64"/>
    </row>
    <row r="2143" spans="1:8" x14ac:dyDescent="0.25">
      <c r="A2143" s="65">
        <v>45526</v>
      </c>
      <c r="B2143" s="66">
        <v>24811.5</v>
      </c>
      <c r="C2143" s="66">
        <v>24863.4</v>
      </c>
      <c r="D2143" s="66">
        <v>24867.35</v>
      </c>
      <c r="E2143" s="66">
        <v>24784.45</v>
      </c>
      <c r="F2143" s="67" t="s">
        <v>607</v>
      </c>
      <c r="G2143" s="68">
        <v>1.6999999999999999E-3</v>
      </c>
      <c r="H2143" s="64"/>
    </row>
    <row r="2144" spans="1:8" x14ac:dyDescent="0.25">
      <c r="A2144" s="65">
        <v>45527</v>
      </c>
      <c r="B2144" s="66">
        <v>24823.15</v>
      </c>
      <c r="C2144" s="66">
        <v>24845.4</v>
      </c>
      <c r="D2144" s="66">
        <v>24858.400000000001</v>
      </c>
      <c r="E2144" s="66">
        <v>24771.65</v>
      </c>
      <c r="F2144" s="67" t="s">
        <v>606</v>
      </c>
      <c r="G2144" s="68">
        <v>5.0000000000000001E-4</v>
      </c>
      <c r="H2144" s="64"/>
    </row>
    <row r="2145" spans="1:8" x14ac:dyDescent="0.25">
      <c r="A2145" s="65">
        <v>45530</v>
      </c>
      <c r="B2145" s="66">
        <v>25010.6</v>
      </c>
      <c r="C2145" s="66">
        <v>24906.1</v>
      </c>
      <c r="D2145" s="66">
        <v>25043.8</v>
      </c>
      <c r="E2145" s="66">
        <v>24874.7</v>
      </c>
      <c r="F2145" s="67" t="s">
        <v>605</v>
      </c>
      <c r="G2145" s="68">
        <v>7.6E-3</v>
      </c>
      <c r="H2145" s="64"/>
    </row>
    <row r="2146" spans="1:8" x14ac:dyDescent="0.25">
      <c r="A2146" s="65">
        <v>45531</v>
      </c>
      <c r="B2146" s="66">
        <v>25017.75</v>
      </c>
      <c r="C2146" s="66">
        <v>25024.799999999999</v>
      </c>
      <c r="D2146" s="66">
        <v>25073.1</v>
      </c>
      <c r="E2146" s="66">
        <v>24973.65</v>
      </c>
      <c r="F2146" s="67" t="s">
        <v>604</v>
      </c>
      <c r="G2146" s="68">
        <v>2.9999999999999997E-4</v>
      </c>
      <c r="H2146" s="64"/>
    </row>
    <row r="2147" spans="1:8" x14ac:dyDescent="0.25">
      <c r="A2147" s="65">
        <v>45532</v>
      </c>
      <c r="B2147" s="66">
        <v>25052.35</v>
      </c>
      <c r="C2147" s="66">
        <v>25030.799999999999</v>
      </c>
      <c r="D2147" s="66">
        <v>25129.599999999999</v>
      </c>
      <c r="E2147" s="66">
        <v>24964.65</v>
      </c>
      <c r="F2147" s="67" t="s">
        <v>603</v>
      </c>
      <c r="G2147" s="68">
        <v>1.4E-3</v>
      </c>
      <c r="H2147" s="64"/>
    </row>
    <row r="2148" spans="1:8" x14ac:dyDescent="0.25">
      <c r="A2148" s="65">
        <v>45533</v>
      </c>
      <c r="B2148" s="66">
        <v>25151.95</v>
      </c>
      <c r="C2148" s="66">
        <v>25035.3</v>
      </c>
      <c r="D2148" s="66">
        <v>25192.9</v>
      </c>
      <c r="E2148" s="66">
        <v>24998.5</v>
      </c>
      <c r="F2148" s="67" t="s">
        <v>602</v>
      </c>
      <c r="G2148" s="68">
        <v>4.0000000000000001E-3</v>
      </c>
      <c r="H2148" s="64"/>
    </row>
    <row r="2149" spans="1:8" x14ac:dyDescent="0.25">
      <c r="A2149" s="65">
        <v>45534</v>
      </c>
      <c r="B2149" s="66">
        <v>25235.9</v>
      </c>
      <c r="C2149" s="66">
        <v>25249.7</v>
      </c>
      <c r="D2149" s="66">
        <v>25268.35</v>
      </c>
      <c r="E2149" s="66">
        <v>25199.4</v>
      </c>
      <c r="F2149" s="67" t="s">
        <v>601</v>
      </c>
      <c r="G2149" s="68">
        <v>3.3E-3</v>
      </c>
      <c r="H2149" s="64"/>
    </row>
    <row r="2150" spans="1:8" x14ac:dyDescent="0.25">
      <c r="A2150" s="65">
        <v>45537</v>
      </c>
      <c r="B2150" s="66">
        <v>25278.7</v>
      </c>
      <c r="C2150" s="66">
        <v>25333.599999999999</v>
      </c>
      <c r="D2150" s="66">
        <v>25333.65</v>
      </c>
      <c r="E2150" s="66">
        <v>25235.5</v>
      </c>
      <c r="F2150" s="67" t="s">
        <v>600</v>
      </c>
      <c r="G2150" s="68">
        <v>1.6999999999999999E-3</v>
      </c>
      <c r="H2150" s="64"/>
    </row>
    <row r="2151" spans="1:8" x14ac:dyDescent="0.25">
      <c r="A2151" s="65">
        <v>45538</v>
      </c>
      <c r="B2151" s="66">
        <v>25279.85</v>
      </c>
      <c r="C2151" s="66">
        <v>25313.4</v>
      </c>
      <c r="D2151" s="66">
        <v>25321.7</v>
      </c>
      <c r="E2151" s="66">
        <v>25235.8</v>
      </c>
      <c r="F2151" s="67" t="s">
        <v>599</v>
      </c>
      <c r="G2151" s="68">
        <v>0</v>
      </c>
      <c r="H2151" s="64"/>
    </row>
    <row r="2152" spans="1:8" x14ac:dyDescent="0.25">
      <c r="A2152" s="65">
        <v>45539</v>
      </c>
      <c r="B2152" s="66">
        <v>25198.7</v>
      </c>
      <c r="C2152" s="66">
        <v>25089.95</v>
      </c>
      <c r="D2152" s="66">
        <v>25216</v>
      </c>
      <c r="E2152" s="66">
        <v>25083.8</v>
      </c>
      <c r="F2152" s="67" t="s">
        <v>598</v>
      </c>
      <c r="G2152" s="68">
        <v>-3.2000000000000002E-3</v>
      </c>
      <c r="H2152" s="64"/>
    </row>
    <row r="2153" spans="1:8" x14ac:dyDescent="0.25">
      <c r="A2153" s="65">
        <v>45540</v>
      </c>
      <c r="B2153" s="66">
        <v>25145.1</v>
      </c>
      <c r="C2153" s="66">
        <v>25250.5</v>
      </c>
      <c r="D2153" s="66">
        <v>25275.45</v>
      </c>
      <c r="E2153" s="66">
        <v>25127.75</v>
      </c>
      <c r="F2153" s="67" t="s">
        <v>597</v>
      </c>
      <c r="G2153" s="68">
        <v>-2.0999999999999999E-3</v>
      </c>
      <c r="H2153" s="64"/>
    </row>
    <row r="2154" spans="1:8" x14ac:dyDescent="0.25">
      <c r="A2154" s="65">
        <v>45541</v>
      </c>
      <c r="B2154" s="66">
        <v>24852.15</v>
      </c>
      <c r="C2154" s="66">
        <v>25093.7</v>
      </c>
      <c r="D2154" s="66">
        <v>25168.75</v>
      </c>
      <c r="E2154" s="66">
        <v>24801.3</v>
      </c>
      <c r="F2154" s="67" t="s">
        <v>596</v>
      </c>
      <c r="G2154" s="68">
        <v>-1.17E-2</v>
      </c>
      <c r="H2154" s="64"/>
    </row>
    <row r="2155" spans="1:8" x14ac:dyDescent="0.25">
      <c r="A2155" s="65">
        <v>45544</v>
      </c>
      <c r="B2155" s="66">
        <v>24936.400000000001</v>
      </c>
      <c r="C2155" s="66">
        <v>24823.4</v>
      </c>
      <c r="D2155" s="66">
        <v>24957.5</v>
      </c>
      <c r="E2155" s="66">
        <v>24753.15</v>
      </c>
      <c r="F2155" s="67" t="s">
        <v>595</v>
      </c>
      <c r="G2155" s="68">
        <v>3.3999999999999998E-3</v>
      </c>
      <c r="H2155" s="64"/>
    </row>
    <row r="2156" spans="1:8" x14ac:dyDescent="0.25">
      <c r="A2156" s="65">
        <v>45545</v>
      </c>
      <c r="B2156" s="66">
        <v>25041.1</v>
      </c>
      <c r="C2156" s="66">
        <v>24999.4</v>
      </c>
      <c r="D2156" s="66">
        <v>25130.5</v>
      </c>
      <c r="E2156" s="66">
        <v>24896.799999999999</v>
      </c>
      <c r="F2156" s="67" t="s">
        <v>594</v>
      </c>
      <c r="G2156" s="68">
        <v>4.1999999999999997E-3</v>
      </c>
      <c r="H2156" s="64"/>
    </row>
    <row r="2157" spans="1:8" x14ac:dyDescent="0.25">
      <c r="A2157" s="65">
        <v>45546</v>
      </c>
      <c r="B2157" s="66">
        <v>24918.45</v>
      </c>
      <c r="C2157" s="66">
        <v>25034</v>
      </c>
      <c r="D2157" s="66">
        <v>25113.7</v>
      </c>
      <c r="E2157" s="66">
        <v>24885.15</v>
      </c>
      <c r="F2157" s="67" t="s">
        <v>593</v>
      </c>
      <c r="G2157" s="68">
        <v>-4.8999999999999998E-3</v>
      </c>
      <c r="H2157" s="64"/>
    </row>
    <row r="2158" spans="1:8" x14ac:dyDescent="0.25">
      <c r="A2158" s="65">
        <v>45547</v>
      </c>
      <c r="B2158" s="66">
        <v>25388.9</v>
      </c>
      <c r="C2158" s="66">
        <v>25059.65</v>
      </c>
      <c r="D2158" s="66">
        <v>25433.35</v>
      </c>
      <c r="E2158" s="66">
        <v>24941.45</v>
      </c>
      <c r="F2158" s="67" t="s">
        <v>592</v>
      </c>
      <c r="G2158" s="68">
        <v>1.89E-2</v>
      </c>
      <c r="H2158" s="64"/>
    </row>
    <row r="2159" spans="1:8" x14ac:dyDescent="0.25">
      <c r="A2159" s="65">
        <v>45548</v>
      </c>
      <c r="B2159" s="66">
        <v>25356.5</v>
      </c>
      <c r="C2159" s="66">
        <v>25430.45</v>
      </c>
      <c r="D2159" s="66">
        <v>25430.5</v>
      </c>
      <c r="E2159" s="66">
        <v>25292.45</v>
      </c>
      <c r="F2159" s="67" t="s">
        <v>591</v>
      </c>
      <c r="G2159" s="68">
        <v>-1.2999999999999999E-3</v>
      </c>
      <c r="H2159" s="64"/>
    </row>
    <row r="2160" spans="1:8" x14ac:dyDescent="0.25">
      <c r="A2160" s="65">
        <v>45551</v>
      </c>
      <c r="B2160" s="66">
        <v>25383.75</v>
      </c>
      <c r="C2160" s="66">
        <v>25406.65</v>
      </c>
      <c r="D2160" s="66">
        <v>25445.7</v>
      </c>
      <c r="E2160" s="66">
        <v>25336.2</v>
      </c>
      <c r="F2160" s="67" t="s">
        <v>590</v>
      </c>
      <c r="G2160" s="68">
        <v>1.1000000000000001E-3</v>
      </c>
      <c r="H2160" s="64"/>
    </row>
    <row r="2161" spans="1:8" x14ac:dyDescent="0.25">
      <c r="A2161" s="65">
        <v>45552</v>
      </c>
      <c r="B2161" s="66">
        <v>25418.55</v>
      </c>
      <c r="C2161" s="66">
        <v>25416.9</v>
      </c>
      <c r="D2161" s="66">
        <v>25441.65</v>
      </c>
      <c r="E2161" s="66">
        <v>25352.25</v>
      </c>
      <c r="F2161" s="67" t="s">
        <v>589</v>
      </c>
      <c r="G2161" s="68">
        <v>1.4E-3</v>
      </c>
      <c r="H2161" s="64"/>
    </row>
    <row r="2162" spans="1:8" x14ac:dyDescent="0.25">
      <c r="A2162" s="65">
        <v>45553</v>
      </c>
      <c r="B2162" s="66">
        <v>25377.55</v>
      </c>
      <c r="C2162" s="66">
        <v>25402.400000000001</v>
      </c>
      <c r="D2162" s="66">
        <v>25482.2</v>
      </c>
      <c r="E2162" s="66">
        <v>25285.55</v>
      </c>
      <c r="F2162" s="67" t="s">
        <v>588</v>
      </c>
      <c r="G2162" s="68">
        <v>-1.6000000000000001E-3</v>
      </c>
      <c r="H2162" s="64"/>
    </row>
    <row r="2163" spans="1:8" x14ac:dyDescent="0.25">
      <c r="A2163" s="65">
        <v>45554</v>
      </c>
      <c r="B2163" s="66">
        <v>25415.8</v>
      </c>
      <c r="C2163" s="66">
        <v>25487.05</v>
      </c>
      <c r="D2163" s="66">
        <v>25611.95</v>
      </c>
      <c r="E2163" s="66">
        <v>25376.05</v>
      </c>
      <c r="F2163" s="67" t="s">
        <v>587</v>
      </c>
      <c r="G2163" s="68">
        <v>1.5E-3</v>
      </c>
      <c r="H2163" s="64"/>
    </row>
    <row r="2164" spans="1:8" x14ac:dyDescent="0.25">
      <c r="A2164" s="65">
        <v>45555</v>
      </c>
      <c r="B2164" s="66">
        <v>25790.95</v>
      </c>
      <c r="C2164" s="66">
        <v>25525.95</v>
      </c>
      <c r="D2164" s="66">
        <v>25849.25</v>
      </c>
      <c r="E2164" s="66">
        <v>25426.6</v>
      </c>
      <c r="F2164" s="67" t="s">
        <v>586</v>
      </c>
      <c r="G2164" s="68">
        <v>1.4800000000000001E-2</v>
      </c>
      <c r="H2164" s="64"/>
    </row>
    <row r="2165" spans="1:8" x14ac:dyDescent="0.25">
      <c r="A2165" s="65">
        <v>45558</v>
      </c>
      <c r="B2165" s="66">
        <v>25939.05</v>
      </c>
      <c r="C2165" s="66">
        <v>25872.55</v>
      </c>
      <c r="D2165" s="66">
        <v>25956</v>
      </c>
      <c r="E2165" s="66">
        <v>25847.35</v>
      </c>
      <c r="F2165" s="67" t="s">
        <v>585</v>
      </c>
      <c r="G2165" s="68">
        <v>5.7000000000000002E-3</v>
      </c>
      <c r="H2165" s="64"/>
    </row>
    <row r="2166" spans="1:8" x14ac:dyDescent="0.25">
      <c r="A2166" s="65">
        <v>45559</v>
      </c>
      <c r="B2166" s="66">
        <v>25940.400000000001</v>
      </c>
      <c r="C2166" s="66">
        <v>25921.45</v>
      </c>
      <c r="D2166" s="66">
        <v>26011.55</v>
      </c>
      <c r="E2166" s="66">
        <v>25886.85</v>
      </c>
      <c r="F2166" s="67" t="s">
        <v>584</v>
      </c>
      <c r="G2166" s="68">
        <v>1E-4</v>
      </c>
      <c r="H2166" s="64"/>
    </row>
    <row r="2167" spans="1:8" x14ac:dyDescent="0.25">
      <c r="A2167" s="65">
        <v>45560</v>
      </c>
      <c r="B2167" s="66">
        <v>26004.15</v>
      </c>
      <c r="C2167" s="66">
        <v>25899.45</v>
      </c>
      <c r="D2167" s="66">
        <v>26032.799999999999</v>
      </c>
      <c r="E2167" s="66">
        <v>25871.35</v>
      </c>
      <c r="F2167" s="67" t="s">
        <v>583</v>
      </c>
      <c r="G2167" s="68">
        <v>2.5000000000000001E-3</v>
      </c>
      <c r="H2167" s="64"/>
    </row>
    <row r="2168" spans="1:8" x14ac:dyDescent="0.25">
      <c r="A2168" s="65">
        <v>45561</v>
      </c>
      <c r="B2168" s="66">
        <v>26216.05</v>
      </c>
      <c r="C2168" s="66">
        <v>26005.4</v>
      </c>
      <c r="D2168" s="66">
        <v>26250.9</v>
      </c>
      <c r="E2168" s="66">
        <v>25998.400000000001</v>
      </c>
      <c r="F2168" s="67" t="s">
        <v>582</v>
      </c>
      <c r="G2168" s="68">
        <v>8.0999999999999996E-3</v>
      </c>
      <c r="H2168" s="64"/>
    </row>
    <row r="2169" spans="1:8" x14ac:dyDescent="0.25">
      <c r="A2169" s="65">
        <v>45562</v>
      </c>
      <c r="B2169" s="66">
        <v>26178.95</v>
      </c>
      <c r="C2169" s="66">
        <v>26248.25</v>
      </c>
      <c r="D2169" s="66">
        <v>26277.35</v>
      </c>
      <c r="E2169" s="66">
        <v>26151.4</v>
      </c>
      <c r="F2169" s="67" t="s">
        <v>581</v>
      </c>
      <c r="G2169" s="68">
        <v>-1.4E-3</v>
      </c>
      <c r="H2169" s="64"/>
    </row>
    <row r="2170" spans="1:8" x14ac:dyDescent="0.25">
      <c r="A2170" s="65">
        <v>45565</v>
      </c>
      <c r="B2170" s="66">
        <v>25810.85</v>
      </c>
      <c r="C2170" s="66">
        <v>26061.3</v>
      </c>
      <c r="D2170" s="66">
        <v>26134.7</v>
      </c>
      <c r="E2170" s="66">
        <v>25794.1</v>
      </c>
      <c r="F2170" s="67" t="s">
        <v>580</v>
      </c>
      <c r="G2170" s="68">
        <v>-1.41E-2</v>
      </c>
      <c r="H2170" s="64"/>
    </row>
    <row r="2171" spans="1:8" x14ac:dyDescent="0.25">
      <c r="A2171" s="65">
        <v>45566</v>
      </c>
      <c r="B2171" s="66">
        <v>25796.9</v>
      </c>
      <c r="C2171" s="66">
        <v>25788.45</v>
      </c>
      <c r="D2171" s="66">
        <v>25907.599999999999</v>
      </c>
      <c r="E2171" s="66">
        <v>25739.200000000001</v>
      </c>
      <c r="F2171" s="67" t="s">
        <v>579</v>
      </c>
      <c r="G2171" s="68">
        <v>-5.0000000000000001E-4</v>
      </c>
      <c r="H2171" s="64"/>
    </row>
    <row r="2172" spans="1:8" x14ac:dyDescent="0.25">
      <c r="A2172" s="65">
        <v>45568</v>
      </c>
      <c r="B2172" s="66">
        <v>25250.1</v>
      </c>
      <c r="C2172" s="66">
        <v>25452.85</v>
      </c>
      <c r="D2172" s="66">
        <v>25639.45</v>
      </c>
      <c r="E2172" s="66">
        <v>25230.3</v>
      </c>
      <c r="F2172" s="67" t="s">
        <v>578</v>
      </c>
      <c r="G2172" s="68">
        <v>-2.12E-2</v>
      </c>
      <c r="H2172" s="64"/>
    </row>
    <row r="2173" spans="1:8" x14ac:dyDescent="0.25">
      <c r="A2173" s="65">
        <v>45569</v>
      </c>
      <c r="B2173" s="66">
        <v>25014.6</v>
      </c>
      <c r="C2173" s="66">
        <v>25181.9</v>
      </c>
      <c r="D2173" s="66">
        <v>25485.05</v>
      </c>
      <c r="E2173" s="66">
        <v>24966.799999999999</v>
      </c>
      <c r="F2173" s="67" t="s">
        <v>577</v>
      </c>
      <c r="G2173" s="68">
        <v>-9.2999999999999992E-3</v>
      </c>
      <c r="H2173" s="64"/>
    </row>
    <row r="2174" spans="1:8" x14ac:dyDescent="0.25">
      <c r="A2174" s="65">
        <v>45572</v>
      </c>
      <c r="B2174" s="66">
        <v>24795.75</v>
      </c>
      <c r="C2174" s="66">
        <v>25084.1</v>
      </c>
      <c r="D2174" s="66">
        <v>25143</v>
      </c>
      <c r="E2174" s="66">
        <v>24694.35</v>
      </c>
      <c r="F2174" s="67" t="s">
        <v>576</v>
      </c>
      <c r="G2174" s="68">
        <v>-8.6999999999999994E-3</v>
      </c>
      <c r="H2174" s="64"/>
    </row>
    <row r="2175" spans="1:8" x14ac:dyDescent="0.25">
      <c r="A2175" s="65">
        <v>45573</v>
      </c>
      <c r="B2175" s="66">
        <v>25013.15</v>
      </c>
      <c r="C2175" s="66">
        <v>24832.2</v>
      </c>
      <c r="D2175" s="66">
        <v>25044</v>
      </c>
      <c r="E2175" s="66">
        <v>24756.799999999999</v>
      </c>
      <c r="F2175" s="67" t="s">
        <v>575</v>
      </c>
      <c r="G2175" s="68">
        <v>8.8000000000000005E-3</v>
      </c>
      <c r="H2175" s="64"/>
    </row>
    <row r="2176" spans="1:8" x14ac:dyDescent="0.25">
      <c r="A2176" s="65">
        <v>45574</v>
      </c>
      <c r="B2176" s="66">
        <v>24981.95</v>
      </c>
      <c r="C2176" s="66">
        <v>25065.8</v>
      </c>
      <c r="D2176" s="66">
        <v>25234.05</v>
      </c>
      <c r="E2176" s="66">
        <v>24947.7</v>
      </c>
      <c r="F2176" s="67" t="s">
        <v>574</v>
      </c>
      <c r="G2176" s="68">
        <v>-1.1999999999999999E-3</v>
      </c>
      <c r="H2176" s="64"/>
    </row>
    <row r="2177" spans="1:8" x14ac:dyDescent="0.25">
      <c r="A2177" s="65">
        <v>45575</v>
      </c>
      <c r="B2177" s="66">
        <v>24998.45</v>
      </c>
      <c r="C2177" s="66">
        <v>25067.05</v>
      </c>
      <c r="D2177" s="66">
        <v>25134.05</v>
      </c>
      <c r="E2177" s="66">
        <v>24979.4</v>
      </c>
      <c r="F2177" s="67" t="s">
        <v>573</v>
      </c>
      <c r="G2177" s="68">
        <v>6.9999999999999999E-4</v>
      </c>
      <c r="H2177" s="64"/>
    </row>
    <row r="2178" spans="1:8" x14ac:dyDescent="0.25">
      <c r="A2178" s="65">
        <v>45576</v>
      </c>
      <c r="B2178" s="66">
        <v>24964.25</v>
      </c>
      <c r="C2178" s="66">
        <v>24985.3</v>
      </c>
      <c r="D2178" s="66">
        <v>25028.65</v>
      </c>
      <c r="E2178" s="66">
        <v>24920.05</v>
      </c>
      <c r="F2178" s="67" t="s">
        <v>572</v>
      </c>
      <c r="G2178" s="68">
        <v>-1.4E-3</v>
      </c>
      <c r="H2178" s="64"/>
    </row>
    <row r="2179" spans="1:8" x14ac:dyDescent="0.25">
      <c r="A2179" s="65">
        <v>45579</v>
      </c>
      <c r="B2179" s="66">
        <v>25127.95</v>
      </c>
      <c r="C2179" s="66">
        <v>25023.45</v>
      </c>
      <c r="D2179" s="66">
        <v>25159.75</v>
      </c>
      <c r="E2179" s="66">
        <v>25017.5</v>
      </c>
      <c r="F2179" s="67" t="s">
        <v>571</v>
      </c>
      <c r="G2179" s="68">
        <v>6.6E-3</v>
      </c>
      <c r="H2179" s="64"/>
    </row>
    <row r="2180" spans="1:8" x14ac:dyDescent="0.25">
      <c r="A2180" s="65">
        <v>45580</v>
      </c>
      <c r="B2180" s="66">
        <v>25057.35</v>
      </c>
      <c r="C2180" s="66">
        <v>25186.3</v>
      </c>
      <c r="D2180" s="66">
        <v>25212.05</v>
      </c>
      <c r="E2180" s="66">
        <v>25008.15</v>
      </c>
      <c r="F2180" s="67" t="s">
        <v>570</v>
      </c>
      <c r="G2180" s="68">
        <v>-2.8E-3</v>
      </c>
      <c r="H2180" s="64"/>
    </row>
    <row r="2181" spans="1:8" x14ac:dyDescent="0.25">
      <c r="A2181" s="65">
        <v>45581</v>
      </c>
      <c r="B2181" s="66">
        <v>24971.3</v>
      </c>
      <c r="C2181" s="66">
        <v>25008.55</v>
      </c>
      <c r="D2181" s="66">
        <v>25093.4</v>
      </c>
      <c r="E2181" s="66">
        <v>24908.45</v>
      </c>
      <c r="F2181" s="67" t="s">
        <v>569</v>
      </c>
      <c r="G2181" s="68">
        <v>-3.3999999999999998E-3</v>
      </c>
      <c r="H2181" s="64"/>
    </row>
    <row r="2182" spans="1:8" x14ac:dyDescent="0.25">
      <c r="A2182" s="65">
        <v>45582</v>
      </c>
      <c r="B2182" s="66">
        <v>24749.85</v>
      </c>
      <c r="C2182" s="66">
        <v>25027.4</v>
      </c>
      <c r="D2182" s="66">
        <v>25029.5</v>
      </c>
      <c r="E2182" s="66">
        <v>24728.9</v>
      </c>
      <c r="F2182" s="67" t="s">
        <v>568</v>
      </c>
      <c r="G2182" s="68">
        <v>-8.8999999999999999E-3</v>
      </c>
      <c r="H2182" s="64"/>
    </row>
    <row r="2183" spans="1:8" x14ac:dyDescent="0.25">
      <c r="A2183" s="65">
        <v>45583</v>
      </c>
      <c r="B2183" s="66">
        <v>24854.05</v>
      </c>
      <c r="C2183" s="66">
        <v>24664.95</v>
      </c>
      <c r="D2183" s="66">
        <v>24886.2</v>
      </c>
      <c r="E2183" s="66">
        <v>24567.65</v>
      </c>
      <c r="F2183" s="67" t="s">
        <v>567</v>
      </c>
      <c r="G2183" s="68">
        <v>4.1999999999999997E-3</v>
      </c>
      <c r="H2183" s="64"/>
    </row>
    <row r="2184" spans="1:8" x14ac:dyDescent="0.25">
      <c r="A2184" s="65">
        <v>45586</v>
      </c>
      <c r="B2184" s="66">
        <v>24781.1</v>
      </c>
      <c r="C2184" s="66">
        <v>24956.15</v>
      </c>
      <c r="D2184" s="66">
        <v>24978.3</v>
      </c>
      <c r="E2184" s="66">
        <v>24679.599999999999</v>
      </c>
      <c r="F2184" s="67" t="s">
        <v>566</v>
      </c>
      <c r="G2184" s="68">
        <v>-2.8999999999999998E-3</v>
      </c>
      <c r="H2184" s="64"/>
    </row>
    <row r="2185" spans="1:8" x14ac:dyDescent="0.25">
      <c r="A2185" s="65">
        <v>45587</v>
      </c>
      <c r="B2185" s="66">
        <v>24472.1</v>
      </c>
      <c r="C2185" s="66">
        <v>24798.65</v>
      </c>
      <c r="D2185" s="66">
        <v>24882</v>
      </c>
      <c r="E2185" s="66">
        <v>24445.8</v>
      </c>
      <c r="F2185" s="67" t="s">
        <v>565</v>
      </c>
      <c r="G2185" s="68">
        <v>-1.2500000000000001E-2</v>
      </c>
      <c r="H2185" s="64"/>
    </row>
    <row r="2186" spans="1:8" x14ac:dyDescent="0.25">
      <c r="A2186" s="65">
        <v>45588</v>
      </c>
      <c r="B2186" s="66">
        <v>24435.5</v>
      </c>
      <c r="C2186" s="66">
        <v>24378.15</v>
      </c>
      <c r="D2186" s="66">
        <v>24604.25</v>
      </c>
      <c r="E2186" s="66">
        <v>24378.1</v>
      </c>
      <c r="F2186" s="67" t="s">
        <v>564</v>
      </c>
      <c r="G2186" s="68">
        <v>-1.5E-3</v>
      </c>
      <c r="H2186" s="64"/>
    </row>
    <row r="2187" spans="1:8" x14ac:dyDescent="0.25">
      <c r="A2187" s="65">
        <v>45589</v>
      </c>
      <c r="B2187" s="66">
        <v>24399.4</v>
      </c>
      <c r="C2187" s="66">
        <v>24412.7</v>
      </c>
      <c r="D2187" s="66">
        <v>24480.65</v>
      </c>
      <c r="E2187" s="66">
        <v>24341.200000000001</v>
      </c>
      <c r="F2187" s="67" t="s">
        <v>563</v>
      </c>
      <c r="G2187" s="68">
        <v>-1.5E-3</v>
      </c>
      <c r="H2187" s="64"/>
    </row>
    <row r="2188" spans="1:8" x14ac:dyDescent="0.25">
      <c r="A2188" s="65">
        <v>45590</v>
      </c>
      <c r="B2188" s="66">
        <v>24180.799999999999</v>
      </c>
      <c r="C2188" s="66">
        <v>24418.05</v>
      </c>
      <c r="D2188" s="66">
        <v>24440.25</v>
      </c>
      <c r="E2188" s="66">
        <v>24073.9</v>
      </c>
      <c r="F2188" s="67" t="s">
        <v>562</v>
      </c>
      <c r="G2188" s="68">
        <v>-8.9999999999999993E-3</v>
      </c>
      <c r="H2188" s="64"/>
    </row>
    <row r="2189" spans="1:8" x14ac:dyDescent="0.25">
      <c r="A2189" s="65">
        <v>45593</v>
      </c>
      <c r="B2189" s="66">
        <v>24339.15</v>
      </c>
      <c r="C2189" s="66">
        <v>24251.1</v>
      </c>
      <c r="D2189" s="66">
        <v>24492.6</v>
      </c>
      <c r="E2189" s="66">
        <v>24134.9</v>
      </c>
      <c r="F2189" s="67" t="s">
        <v>561</v>
      </c>
      <c r="G2189" s="68">
        <v>6.4999999999999997E-3</v>
      </c>
      <c r="H2189" s="64"/>
    </row>
    <row r="2190" spans="1:8" x14ac:dyDescent="0.25">
      <c r="A2190" s="65">
        <v>45594</v>
      </c>
      <c r="B2190" s="66">
        <v>24466.85</v>
      </c>
      <c r="C2190" s="66">
        <v>24328.85</v>
      </c>
      <c r="D2190" s="66">
        <v>24484.5</v>
      </c>
      <c r="E2190" s="66">
        <v>24140.85</v>
      </c>
      <c r="F2190" s="67" t="s">
        <v>560</v>
      </c>
      <c r="G2190" s="68">
        <v>5.1999999999999998E-3</v>
      </c>
      <c r="H2190" s="64"/>
    </row>
    <row r="2191" spans="1:8" x14ac:dyDescent="0.25">
      <c r="A2191" s="65">
        <v>45595</v>
      </c>
      <c r="B2191" s="66">
        <v>24340.85</v>
      </c>
      <c r="C2191" s="66">
        <v>24371.45</v>
      </c>
      <c r="D2191" s="66">
        <v>24498.2</v>
      </c>
      <c r="E2191" s="66">
        <v>24307.3</v>
      </c>
      <c r="F2191" s="67" t="s">
        <v>559</v>
      </c>
      <c r="G2191" s="68">
        <v>-5.1000000000000004E-3</v>
      </c>
      <c r="H2191" s="64"/>
    </row>
    <row r="2192" spans="1:8" x14ac:dyDescent="0.25">
      <c r="A2192" s="65">
        <v>45596</v>
      </c>
      <c r="B2192" s="66">
        <v>24205.35</v>
      </c>
      <c r="C2192" s="66">
        <v>24349.85</v>
      </c>
      <c r="D2192" s="66">
        <v>24372.45</v>
      </c>
      <c r="E2192" s="66">
        <v>24172.6</v>
      </c>
      <c r="F2192" s="67" t="s">
        <v>558</v>
      </c>
      <c r="G2192" s="68">
        <v>-5.5999999999999999E-3</v>
      </c>
      <c r="H2192" s="64"/>
    </row>
    <row r="2193" spans="1:8" x14ac:dyDescent="0.25">
      <c r="A2193" s="65">
        <v>45597</v>
      </c>
      <c r="B2193" s="66">
        <v>24304.35</v>
      </c>
      <c r="C2193" s="66">
        <v>24302.75</v>
      </c>
      <c r="D2193" s="66">
        <v>24368.25</v>
      </c>
      <c r="E2193" s="66">
        <v>24280.2</v>
      </c>
      <c r="F2193" s="67" t="s">
        <v>557</v>
      </c>
      <c r="G2193" s="68">
        <v>4.1000000000000003E-3</v>
      </c>
      <c r="H2193" s="64"/>
    </row>
    <row r="2194" spans="1:8" x14ac:dyDescent="0.25">
      <c r="A2194" s="65">
        <v>45600</v>
      </c>
      <c r="B2194" s="66">
        <v>23995.35</v>
      </c>
      <c r="C2194" s="66">
        <v>24315.75</v>
      </c>
      <c r="D2194" s="66">
        <v>24316.75</v>
      </c>
      <c r="E2194" s="66">
        <v>23816.15</v>
      </c>
      <c r="F2194" s="67" t="s">
        <v>556</v>
      </c>
      <c r="G2194" s="68">
        <v>-1.2699999999999999E-2</v>
      </c>
      <c r="H2194" s="64"/>
    </row>
    <row r="2195" spans="1:8" x14ac:dyDescent="0.25">
      <c r="A2195" s="65">
        <v>45601</v>
      </c>
      <c r="B2195" s="66">
        <v>24213.3</v>
      </c>
      <c r="C2195" s="66">
        <v>23916.5</v>
      </c>
      <c r="D2195" s="66">
        <v>24229.05</v>
      </c>
      <c r="E2195" s="66">
        <v>23842.75</v>
      </c>
      <c r="F2195" s="67" t="s">
        <v>555</v>
      </c>
      <c r="G2195" s="68">
        <v>9.1000000000000004E-3</v>
      </c>
      <c r="H2195" s="64"/>
    </row>
    <row r="2196" spans="1:8" x14ac:dyDescent="0.25">
      <c r="A2196" s="65">
        <v>45602</v>
      </c>
      <c r="B2196" s="66">
        <v>24484.05</v>
      </c>
      <c r="C2196" s="66">
        <v>24308.75</v>
      </c>
      <c r="D2196" s="66">
        <v>24537.599999999999</v>
      </c>
      <c r="E2196" s="66">
        <v>24204.05</v>
      </c>
      <c r="F2196" s="67" t="s">
        <v>554</v>
      </c>
      <c r="G2196" s="68">
        <v>1.12E-2</v>
      </c>
      <c r="H2196" s="64"/>
    </row>
    <row r="2197" spans="1:8" x14ac:dyDescent="0.25">
      <c r="A2197" s="65">
        <v>45603</v>
      </c>
      <c r="B2197" s="66">
        <v>24199.35</v>
      </c>
      <c r="C2197" s="66">
        <v>24489.599999999999</v>
      </c>
      <c r="D2197" s="66">
        <v>24503.35</v>
      </c>
      <c r="E2197" s="66">
        <v>24179.05</v>
      </c>
      <c r="F2197" s="67" t="s">
        <v>553</v>
      </c>
      <c r="G2197" s="68">
        <v>-1.1599999999999999E-2</v>
      </c>
      <c r="H2197" s="64"/>
    </row>
    <row r="2198" spans="1:8" x14ac:dyDescent="0.25">
      <c r="A2198" s="65">
        <v>45604</v>
      </c>
      <c r="B2198" s="66">
        <v>24148.2</v>
      </c>
      <c r="C2198" s="66">
        <v>24207.7</v>
      </c>
      <c r="D2198" s="66">
        <v>24276.15</v>
      </c>
      <c r="E2198" s="66">
        <v>24066.65</v>
      </c>
      <c r="F2198" s="67" t="s">
        <v>552</v>
      </c>
      <c r="G2198" s="68">
        <v>-2.0999999999999999E-3</v>
      </c>
      <c r="H2198" s="64"/>
    </row>
    <row r="2199" spans="1:8" x14ac:dyDescent="0.25">
      <c r="A2199" s="65">
        <v>45607</v>
      </c>
      <c r="B2199" s="66">
        <v>24141.3</v>
      </c>
      <c r="C2199" s="66">
        <v>24087.25</v>
      </c>
      <c r="D2199" s="66">
        <v>24336.799999999999</v>
      </c>
      <c r="E2199" s="66">
        <v>24004.6</v>
      </c>
      <c r="F2199" s="67" t="s">
        <v>551</v>
      </c>
      <c r="G2199" s="68">
        <v>-2.9999999999999997E-4</v>
      </c>
      <c r="H2199" s="64"/>
    </row>
    <row r="2200" spans="1:8" x14ac:dyDescent="0.25">
      <c r="A2200" s="65">
        <v>45608</v>
      </c>
      <c r="B2200" s="66">
        <v>23883.45</v>
      </c>
      <c r="C2200" s="66">
        <v>24225.8</v>
      </c>
      <c r="D2200" s="66">
        <v>24242</v>
      </c>
      <c r="E2200" s="66">
        <v>23839.15</v>
      </c>
      <c r="F2200" s="67" t="s">
        <v>550</v>
      </c>
      <c r="G2200" s="68">
        <v>-1.0699999999999999E-2</v>
      </c>
      <c r="H2200" s="64"/>
    </row>
    <row r="2201" spans="1:8" x14ac:dyDescent="0.25">
      <c r="A2201" s="65">
        <v>45609</v>
      </c>
      <c r="B2201" s="66">
        <v>23559.05</v>
      </c>
      <c r="C2201" s="66">
        <v>23822.45</v>
      </c>
      <c r="D2201" s="66">
        <v>23873.599999999999</v>
      </c>
      <c r="E2201" s="66">
        <v>23509.599999999999</v>
      </c>
      <c r="F2201" s="67" t="s">
        <v>549</v>
      </c>
      <c r="G2201" s="68">
        <v>-1.3599999999999999E-2</v>
      </c>
      <c r="H2201" s="64"/>
    </row>
    <row r="2202" spans="1:8" x14ac:dyDescent="0.25">
      <c r="A2202" s="65">
        <v>45610</v>
      </c>
      <c r="B2202" s="66">
        <v>23532.7</v>
      </c>
      <c r="C2202" s="66">
        <v>23542.15</v>
      </c>
      <c r="D2202" s="66">
        <v>23675.9</v>
      </c>
      <c r="E2202" s="66">
        <v>23484.15</v>
      </c>
      <c r="F2202" s="67" t="s">
        <v>548</v>
      </c>
      <c r="G2202" s="68">
        <v>-1.1000000000000001E-3</v>
      </c>
      <c r="H2202" s="64"/>
    </row>
    <row r="2203" spans="1:8" x14ac:dyDescent="0.25">
      <c r="A2203" s="65">
        <v>45614</v>
      </c>
      <c r="B2203" s="66">
        <v>23453.8</v>
      </c>
      <c r="C2203" s="66">
        <v>23605.3</v>
      </c>
      <c r="D2203" s="66">
        <v>23606.799999999999</v>
      </c>
      <c r="E2203" s="66">
        <v>23350.400000000001</v>
      </c>
      <c r="F2203" s="67" t="s">
        <v>547</v>
      </c>
      <c r="G2203" s="68">
        <v>-3.3999999999999998E-3</v>
      </c>
      <c r="H2203" s="64"/>
    </row>
    <row r="2204" spans="1:8" x14ac:dyDescent="0.25">
      <c r="A2204" s="65">
        <v>45615</v>
      </c>
      <c r="B2204" s="66">
        <v>23518.5</v>
      </c>
      <c r="C2204" s="66">
        <v>23529.55</v>
      </c>
      <c r="D2204" s="66">
        <v>23780.65</v>
      </c>
      <c r="E2204" s="66">
        <v>23464.799999999999</v>
      </c>
      <c r="F2204" s="67" t="s">
        <v>546</v>
      </c>
      <c r="G2204" s="68">
        <v>2.8E-3</v>
      </c>
      <c r="H2204" s="64"/>
    </row>
    <row r="2205" spans="1:8" x14ac:dyDescent="0.25">
      <c r="A2205" s="65">
        <v>45617</v>
      </c>
      <c r="B2205" s="66">
        <v>23349.9</v>
      </c>
      <c r="C2205" s="66">
        <v>23488.45</v>
      </c>
      <c r="D2205" s="66">
        <v>23507.3</v>
      </c>
      <c r="E2205" s="66">
        <v>23263.15</v>
      </c>
      <c r="F2205" s="67" t="s">
        <v>545</v>
      </c>
      <c r="G2205" s="68">
        <v>-7.1999999999999998E-3</v>
      </c>
      <c r="H2205" s="64"/>
    </row>
    <row r="2206" spans="1:8" x14ac:dyDescent="0.25">
      <c r="A2206" s="65">
        <v>45618</v>
      </c>
      <c r="B2206" s="66">
        <v>23907.25</v>
      </c>
      <c r="C2206" s="66">
        <v>23411.8</v>
      </c>
      <c r="D2206" s="66">
        <v>23956.1</v>
      </c>
      <c r="E2206" s="66">
        <v>23359</v>
      </c>
      <c r="F2206" s="67" t="s">
        <v>544</v>
      </c>
      <c r="G2206" s="68">
        <v>2.3900000000000001E-2</v>
      </c>
      <c r="H2206" s="64"/>
    </row>
    <row r="2207" spans="1:8" x14ac:dyDescent="0.25">
      <c r="A2207" s="65">
        <v>45621</v>
      </c>
      <c r="B2207" s="66">
        <v>24221.9</v>
      </c>
      <c r="C2207" s="66">
        <v>24253.55</v>
      </c>
      <c r="D2207" s="66">
        <v>24351.55</v>
      </c>
      <c r="E2207" s="66">
        <v>24135.45</v>
      </c>
      <c r="F2207" s="67" t="s">
        <v>543</v>
      </c>
      <c r="G2207" s="68">
        <v>1.32E-2</v>
      </c>
      <c r="H2207" s="64"/>
    </row>
    <row r="2208" spans="1:8" x14ac:dyDescent="0.25">
      <c r="A2208" s="65">
        <v>45622</v>
      </c>
      <c r="B2208" s="66">
        <v>24194.5</v>
      </c>
      <c r="C2208" s="66">
        <v>24343.3</v>
      </c>
      <c r="D2208" s="66">
        <v>24343.3</v>
      </c>
      <c r="E2208" s="66">
        <v>24125.4</v>
      </c>
      <c r="F2208" s="67" t="s">
        <v>542</v>
      </c>
      <c r="G2208" s="68">
        <v>-1.1000000000000001E-3</v>
      </c>
      <c r="H2208" s="64"/>
    </row>
    <row r="2209" spans="1:8" x14ac:dyDescent="0.25">
      <c r="A2209" s="65">
        <v>45623</v>
      </c>
      <c r="B2209" s="66">
        <v>24274.9</v>
      </c>
      <c r="C2209" s="66">
        <v>24204.799999999999</v>
      </c>
      <c r="D2209" s="66">
        <v>24354.55</v>
      </c>
      <c r="E2209" s="66">
        <v>24145.65</v>
      </c>
      <c r="F2209" s="67" t="s">
        <v>541</v>
      </c>
      <c r="G2209" s="68">
        <v>3.3E-3</v>
      </c>
      <c r="H2209" s="64"/>
    </row>
    <row r="2210" spans="1:8" x14ac:dyDescent="0.25">
      <c r="A2210" s="65">
        <v>45624</v>
      </c>
      <c r="B2210" s="66">
        <v>23914.15</v>
      </c>
      <c r="C2210" s="66">
        <v>24274.15</v>
      </c>
      <c r="D2210" s="66">
        <v>24345.75</v>
      </c>
      <c r="E2210" s="66">
        <v>23873.35</v>
      </c>
      <c r="F2210" s="67" t="s">
        <v>540</v>
      </c>
      <c r="G2210" s="68">
        <v>-1.49E-2</v>
      </c>
      <c r="H2210" s="64"/>
    </row>
    <row r="2211" spans="1:8" x14ac:dyDescent="0.25">
      <c r="A2211" s="65">
        <v>45625</v>
      </c>
      <c r="B2211" s="66">
        <v>24131.1</v>
      </c>
      <c r="C2211" s="66">
        <v>23927.15</v>
      </c>
      <c r="D2211" s="66">
        <v>24188.45</v>
      </c>
      <c r="E2211" s="66">
        <v>23927.15</v>
      </c>
      <c r="F2211" s="67" t="s">
        <v>539</v>
      </c>
      <c r="G2211" s="68">
        <v>9.1000000000000004E-3</v>
      </c>
      <c r="H2211" s="64"/>
    </row>
    <row r="2212" spans="1:8" x14ac:dyDescent="0.25">
      <c r="A2212" s="65">
        <v>45628</v>
      </c>
      <c r="B2212" s="66">
        <v>24276.05</v>
      </c>
      <c r="C2212" s="66">
        <v>24140.85</v>
      </c>
      <c r="D2212" s="66">
        <v>24301.7</v>
      </c>
      <c r="E2212" s="66">
        <v>24008.65</v>
      </c>
      <c r="F2212" s="67" t="s">
        <v>538</v>
      </c>
      <c r="G2212" s="68">
        <v>6.0000000000000001E-3</v>
      </c>
      <c r="H2212" s="64"/>
    </row>
    <row r="2213" spans="1:8" x14ac:dyDescent="0.25">
      <c r="A2213" s="65">
        <v>45629</v>
      </c>
      <c r="B2213" s="66">
        <v>24457.15</v>
      </c>
      <c r="C2213" s="66">
        <v>24367.5</v>
      </c>
      <c r="D2213" s="66">
        <v>24481.35</v>
      </c>
      <c r="E2213" s="66">
        <v>24280</v>
      </c>
      <c r="F2213" s="67" t="s">
        <v>537</v>
      </c>
      <c r="G2213" s="68">
        <v>7.4999999999999997E-3</v>
      </c>
      <c r="H2213" s="64"/>
    </row>
    <row r="2214" spans="1:8" x14ac:dyDescent="0.25">
      <c r="A2214" s="65">
        <v>45630</v>
      </c>
      <c r="B2214" s="66">
        <v>24467.45</v>
      </c>
      <c r="C2214" s="66">
        <v>24488.75</v>
      </c>
      <c r="D2214" s="66">
        <v>24573.200000000001</v>
      </c>
      <c r="E2214" s="66">
        <v>24366.3</v>
      </c>
      <c r="F2214" s="67" t="s">
        <v>536</v>
      </c>
      <c r="G2214" s="68">
        <v>4.0000000000000002E-4</v>
      </c>
      <c r="H2214" s="64"/>
    </row>
    <row r="2215" spans="1:8" x14ac:dyDescent="0.25">
      <c r="A2215" s="65">
        <v>45631</v>
      </c>
      <c r="B2215" s="66">
        <v>24708.400000000001</v>
      </c>
      <c r="C2215" s="66">
        <v>24539.15</v>
      </c>
      <c r="D2215" s="66">
        <v>24857.75</v>
      </c>
      <c r="E2215" s="66">
        <v>24295.55</v>
      </c>
      <c r="F2215" s="67" t="s">
        <v>535</v>
      </c>
      <c r="G2215" s="68">
        <v>9.7999999999999997E-3</v>
      </c>
      <c r="H2215" s="64"/>
    </row>
    <row r="2216" spans="1:8" x14ac:dyDescent="0.25">
      <c r="A2216" s="65">
        <v>45632</v>
      </c>
      <c r="B2216" s="66">
        <v>24677.8</v>
      </c>
      <c r="C2216" s="66">
        <v>24729.45</v>
      </c>
      <c r="D2216" s="66">
        <v>24751.05</v>
      </c>
      <c r="E2216" s="66">
        <v>24620.5</v>
      </c>
      <c r="F2216" s="67" t="s">
        <v>534</v>
      </c>
      <c r="G2216" s="68">
        <v>-1.1999999999999999E-3</v>
      </c>
      <c r="H2216" s="64"/>
    </row>
    <row r="2217" spans="1:8" x14ac:dyDescent="0.25">
      <c r="A2217" s="65">
        <v>45635</v>
      </c>
      <c r="B2217" s="66">
        <v>24619</v>
      </c>
      <c r="C2217" s="66">
        <v>24633.9</v>
      </c>
      <c r="D2217" s="66">
        <v>24705</v>
      </c>
      <c r="E2217" s="66">
        <v>24580.05</v>
      </c>
      <c r="F2217" s="67" t="s">
        <v>533</v>
      </c>
      <c r="G2217" s="68">
        <v>-2.3999999999999998E-3</v>
      </c>
      <c r="H2217" s="64"/>
    </row>
    <row r="2218" spans="1:8" x14ac:dyDescent="0.25">
      <c r="A2218" s="65">
        <v>45636</v>
      </c>
      <c r="B2218" s="66">
        <v>24610.05</v>
      </c>
      <c r="C2218" s="66">
        <v>24652.65</v>
      </c>
      <c r="D2218" s="66">
        <v>24677.8</v>
      </c>
      <c r="E2218" s="66">
        <v>24510.65</v>
      </c>
      <c r="F2218" s="67" t="s">
        <v>532</v>
      </c>
      <c r="G2218" s="68">
        <v>-4.0000000000000002E-4</v>
      </c>
      <c r="H2218" s="64"/>
    </row>
    <row r="2219" spans="1:8" x14ac:dyDescent="0.25">
      <c r="A2219" s="65">
        <v>45637</v>
      </c>
      <c r="B2219" s="66">
        <v>24641.8</v>
      </c>
      <c r="C2219" s="66">
        <v>24620.5</v>
      </c>
      <c r="D2219" s="66">
        <v>24691.75</v>
      </c>
      <c r="E2219" s="66">
        <v>24583.85</v>
      </c>
      <c r="F2219" s="67" t="s">
        <v>531</v>
      </c>
      <c r="G2219" s="68">
        <v>1.2999999999999999E-3</v>
      </c>
      <c r="H2219" s="64"/>
    </row>
    <row r="2220" spans="1:8" x14ac:dyDescent="0.25">
      <c r="A2220" s="65">
        <v>45638</v>
      </c>
      <c r="B2220" s="66">
        <v>24548.7</v>
      </c>
      <c r="C2220" s="66">
        <v>24604.45</v>
      </c>
      <c r="D2220" s="66">
        <v>24675.25</v>
      </c>
      <c r="E2220" s="66">
        <v>24527.95</v>
      </c>
      <c r="F2220" s="67" t="s">
        <v>530</v>
      </c>
      <c r="G2220" s="68">
        <v>-3.8E-3</v>
      </c>
      <c r="H2220" s="64"/>
    </row>
    <row r="2221" spans="1:8" x14ac:dyDescent="0.25">
      <c r="A2221" s="65">
        <v>45639</v>
      </c>
      <c r="B2221" s="66">
        <v>24768.3</v>
      </c>
      <c r="C2221" s="66">
        <v>24498.35</v>
      </c>
      <c r="D2221" s="66">
        <v>24792.3</v>
      </c>
      <c r="E2221" s="66">
        <v>24180.799999999999</v>
      </c>
      <c r="F2221" s="67" t="s">
        <v>529</v>
      </c>
      <c r="G2221" s="68">
        <v>8.8999999999999999E-3</v>
      </c>
      <c r="H2221" s="64"/>
    </row>
    <row r="2222" spans="1:8" x14ac:dyDescent="0.25">
      <c r="A2222" s="65">
        <v>45642</v>
      </c>
      <c r="B2222" s="66">
        <v>24668.25</v>
      </c>
      <c r="C2222" s="66">
        <v>24753.4</v>
      </c>
      <c r="D2222" s="66">
        <v>24781.25</v>
      </c>
      <c r="E2222" s="66">
        <v>24601.75</v>
      </c>
      <c r="F2222" s="67" t="s">
        <v>528</v>
      </c>
      <c r="G2222" s="68">
        <v>-4.0000000000000001E-3</v>
      </c>
      <c r="H2222" s="64"/>
    </row>
    <row r="2223" spans="1:8" x14ac:dyDescent="0.25">
      <c r="A2223" s="65">
        <v>45643</v>
      </c>
      <c r="B2223" s="66">
        <v>24336</v>
      </c>
      <c r="C2223" s="66">
        <v>24584.799999999999</v>
      </c>
      <c r="D2223" s="66">
        <v>24624.1</v>
      </c>
      <c r="E2223" s="66">
        <v>24303.45</v>
      </c>
      <c r="F2223" s="67" t="s">
        <v>527</v>
      </c>
      <c r="G2223" s="68">
        <v>-1.35E-2</v>
      </c>
      <c r="H2223" s="64"/>
    </row>
    <row r="2224" spans="1:8" x14ac:dyDescent="0.25">
      <c r="A2224" s="65">
        <v>45644</v>
      </c>
      <c r="B2224" s="66">
        <v>24198.85</v>
      </c>
      <c r="C2224" s="66">
        <v>24297.95</v>
      </c>
      <c r="D2224" s="66">
        <v>24394.45</v>
      </c>
      <c r="E2224" s="66">
        <v>24149.85</v>
      </c>
      <c r="F2224" s="67" t="s">
        <v>526</v>
      </c>
      <c r="G2224" s="68">
        <v>-5.5999999999999999E-3</v>
      </c>
      <c r="H2224" s="64"/>
    </row>
    <row r="2225" spans="1:8" x14ac:dyDescent="0.25">
      <c r="A2225" s="65">
        <v>45645</v>
      </c>
      <c r="B2225" s="66">
        <v>23951.7</v>
      </c>
      <c r="C2225" s="66">
        <v>23877.15</v>
      </c>
      <c r="D2225" s="66">
        <v>24004.9</v>
      </c>
      <c r="E2225" s="66">
        <v>23870.3</v>
      </c>
      <c r="F2225" s="67" t="s">
        <v>525</v>
      </c>
      <c r="G2225" s="68">
        <v>-1.0200000000000001E-2</v>
      </c>
      <c r="H2225" s="64"/>
    </row>
    <row r="2226" spans="1:8" x14ac:dyDescent="0.25">
      <c r="A2226" s="65">
        <v>45646</v>
      </c>
      <c r="B2226" s="66">
        <v>23587.5</v>
      </c>
      <c r="C2226" s="66">
        <v>23960.7</v>
      </c>
      <c r="D2226" s="66">
        <v>24065.8</v>
      </c>
      <c r="E2226" s="66">
        <v>23537.35</v>
      </c>
      <c r="F2226" s="67" t="s">
        <v>524</v>
      </c>
      <c r="G2226" s="68">
        <v>-1.52E-2</v>
      </c>
      <c r="H2226" s="64"/>
    </row>
    <row r="2227" spans="1:8" x14ac:dyDescent="0.25">
      <c r="A2227" s="65">
        <v>45649</v>
      </c>
      <c r="B2227" s="66">
        <v>23753.45</v>
      </c>
      <c r="C2227" s="66">
        <v>23738.2</v>
      </c>
      <c r="D2227" s="66">
        <v>23869.55</v>
      </c>
      <c r="E2227" s="66">
        <v>23647.200000000001</v>
      </c>
      <c r="F2227" s="67" t="s">
        <v>523</v>
      </c>
      <c r="G2227" s="68">
        <v>7.0000000000000001E-3</v>
      </c>
      <c r="H2227" s="64"/>
    </row>
    <row r="2228" spans="1:8" x14ac:dyDescent="0.25">
      <c r="A2228" s="65">
        <v>45650</v>
      </c>
      <c r="B2228" s="66">
        <v>23727.65</v>
      </c>
      <c r="C2228" s="66">
        <v>23769.1</v>
      </c>
      <c r="D2228" s="66">
        <v>23867.65</v>
      </c>
      <c r="E2228" s="66">
        <v>23685.15</v>
      </c>
      <c r="F2228" s="67" t="s">
        <v>522</v>
      </c>
      <c r="G2228" s="68">
        <v>-1.1000000000000001E-3</v>
      </c>
      <c r="H2228" s="64"/>
    </row>
    <row r="2229" spans="1:8" x14ac:dyDescent="0.25">
      <c r="A2229" s="65">
        <v>45652</v>
      </c>
      <c r="B2229" s="66">
        <v>23750.2</v>
      </c>
      <c r="C2229" s="66">
        <v>23775.8</v>
      </c>
      <c r="D2229" s="66">
        <v>23854.5</v>
      </c>
      <c r="E2229" s="66">
        <v>23653.599999999999</v>
      </c>
      <c r="F2229" s="67" t="s">
        <v>521</v>
      </c>
      <c r="G2229" s="68">
        <v>1E-3</v>
      </c>
      <c r="H2229" s="64"/>
    </row>
    <row r="2230" spans="1:8" x14ac:dyDescent="0.25">
      <c r="A2230" s="65">
        <v>45653</v>
      </c>
      <c r="B2230" s="66">
        <v>23813.4</v>
      </c>
      <c r="C2230" s="66">
        <v>23801.4</v>
      </c>
      <c r="D2230" s="66">
        <v>23938.85</v>
      </c>
      <c r="E2230" s="66">
        <v>23800.6</v>
      </c>
      <c r="F2230" s="67" t="s">
        <v>520</v>
      </c>
      <c r="G2230" s="68">
        <v>2.7000000000000001E-3</v>
      </c>
      <c r="H2230" s="64"/>
    </row>
    <row r="2231" spans="1:8" x14ac:dyDescent="0.25">
      <c r="A2231" s="65">
        <v>45656</v>
      </c>
      <c r="B2231" s="66">
        <v>23644.9</v>
      </c>
      <c r="C2231" s="66">
        <v>23796.9</v>
      </c>
      <c r="D2231" s="66">
        <v>23915.35</v>
      </c>
      <c r="E2231" s="66">
        <v>23599.3</v>
      </c>
      <c r="F2231" s="67" t="s">
        <v>519</v>
      </c>
      <c r="G2231" s="68">
        <v>-7.1000000000000004E-3</v>
      </c>
      <c r="H2231" s="64"/>
    </row>
    <row r="2232" spans="1:8" x14ac:dyDescent="0.25">
      <c r="A2232" s="65">
        <v>45657</v>
      </c>
      <c r="B2232" s="66">
        <v>23644.799999999999</v>
      </c>
      <c r="C2232" s="66">
        <v>23560.6</v>
      </c>
      <c r="D2232" s="66">
        <v>23689.85</v>
      </c>
      <c r="E2232" s="66">
        <v>23460.45</v>
      </c>
      <c r="F2232" s="67" t="s">
        <v>518</v>
      </c>
      <c r="G2232" s="68">
        <v>0</v>
      </c>
      <c r="H2232" s="64"/>
    </row>
    <row r="2233" spans="1:8" x14ac:dyDescent="0.25">
      <c r="A2233" s="65">
        <v>45658</v>
      </c>
      <c r="B2233" s="66">
        <v>23742.9</v>
      </c>
      <c r="C2233" s="66">
        <v>23637.65</v>
      </c>
      <c r="D2233" s="66">
        <v>23822.799999999999</v>
      </c>
      <c r="E2233" s="66">
        <v>23562.799999999999</v>
      </c>
      <c r="F2233" s="67" t="s">
        <v>517</v>
      </c>
      <c r="G2233" s="68">
        <v>4.1000000000000003E-3</v>
      </c>
      <c r="H2233" s="64"/>
    </row>
    <row r="2234" spans="1:8" x14ac:dyDescent="0.25">
      <c r="A2234" s="65">
        <v>45659</v>
      </c>
      <c r="B2234" s="66">
        <v>24188.65</v>
      </c>
      <c r="C2234" s="66">
        <v>23783</v>
      </c>
      <c r="D2234" s="66">
        <v>24226.7</v>
      </c>
      <c r="E2234" s="66">
        <v>23751.55</v>
      </c>
      <c r="F2234" s="67" t="s">
        <v>456</v>
      </c>
      <c r="G2234" s="68">
        <v>1.8800000000000001E-2</v>
      </c>
      <c r="H2234" s="64"/>
    </row>
    <row r="2235" spans="1:8" x14ac:dyDescent="0.25">
      <c r="A2235" s="65">
        <v>45660</v>
      </c>
      <c r="B2235" s="66">
        <v>24004.75</v>
      </c>
      <c r="C2235" s="66">
        <v>24196.400000000001</v>
      </c>
      <c r="D2235" s="66">
        <v>24196.45</v>
      </c>
      <c r="E2235" s="66">
        <v>23976</v>
      </c>
      <c r="F2235" s="67" t="s">
        <v>516</v>
      </c>
      <c r="G2235" s="68">
        <v>-7.6E-3</v>
      </c>
      <c r="H2235" s="64"/>
    </row>
    <row r="2236" spans="1:8" x14ac:dyDescent="0.25">
      <c r="A2236" s="65">
        <v>45663</v>
      </c>
      <c r="B2236" s="66">
        <v>23616.05</v>
      </c>
      <c r="C2236" s="66">
        <v>24045.8</v>
      </c>
      <c r="D2236" s="66">
        <v>24089.95</v>
      </c>
      <c r="E2236" s="66">
        <v>23551.9</v>
      </c>
      <c r="F2236" s="67" t="s">
        <v>515</v>
      </c>
      <c r="G2236" s="68">
        <v>-1.6199999999999999E-2</v>
      </c>
      <c r="H2236" s="64"/>
    </row>
    <row r="2237" spans="1:8" x14ac:dyDescent="0.25">
      <c r="A2237" s="65">
        <v>45664</v>
      </c>
      <c r="B2237" s="66">
        <v>23707.9</v>
      </c>
      <c r="C2237" s="66">
        <v>23679.9</v>
      </c>
      <c r="D2237" s="66">
        <v>23795.200000000001</v>
      </c>
      <c r="E2237" s="66">
        <v>23637.8</v>
      </c>
      <c r="F2237" s="67" t="s">
        <v>514</v>
      </c>
      <c r="G2237" s="68">
        <v>3.8999999999999998E-3</v>
      </c>
      <c r="H2237" s="64"/>
    </row>
    <row r="2238" spans="1:8" x14ac:dyDescent="0.25">
      <c r="A2238" s="65">
        <v>45665</v>
      </c>
      <c r="B2238" s="66">
        <v>23688.95</v>
      </c>
      <c r="C2238" s="66">
        <v>23746.65</v>
      </c>
      <c r="D2238" s="66">
        <v>23751.85</v>
      </c>
      <c r="E2238" s="66">
        <v>23496.15</v>
      </c>
      <c r="F2238" s="67" t="s">
        <v>513</v>
      </c>
      <c r="G2238" s="68">
        <v>-8.0000000000000004E-4</v>
      </c>
      <c r="H2238" s="64"/>
    </row>
    <row r="2239" spans="1:8" x14ac:dyDescent="0.25">
      <c r="A2239" s="65">
        <v>45666</v>
      </c>
      <c r="B2239" s="66">
        <v>23526.5</v>
      </c>
      <c r="C2239" s="66">
        <v>23674.75</v>
      </c>
      <c r="D2239" s="66">
        <v>23689.5</v>
      </c>
      <c r="E2239" s="66">
        <v>23503.05</v>
      </c>
      <c r="F2239" s="67" t="s">
        <v>512</v>
      </c>
      <c r="G2239" s="68">
        <v>-6.8999999999999999E-3</v>
      </c>
      <c r="H2239" s="64"/>
    </row>
    <row r="2240" spans="1:8" x14ac:dyDescent="0.25">
      <c r="A2240" s="65">
        <v>45667</v>
      </c>
      <c r="B2240" s="66">
        <v>23431.5</v>
      </c>
      <c r="C2240" s="66">
        <v>23551.9</v>
      </c>
      <c r="D2240" s="66">
        <v>23596.6</v>
      </c>
      <c r="E2240" s="66">
        <v>23344.35</v>
      </c>
      <c r="F2240" s="67" t="s">
        <v>511</v>
      </c>
      <c r="G2240" s="68">
        <v>-4.0000000000000001E-3</v>
      </c>
      <c r="H2240" s="64"/>
    </row>
    <row r="2241" spans="1:8" x14ac:dyDescent="0.25">
      <c r="A2241" s="65">
        <v>45670</v>
      </c>
      <c r="B2241" s="66">
        <v>23085.95</v>
      </c>
      <c r="C2241" s="66">
        <v>23195.4</v>
      </c>
      <c r="D2241" s="66">
        <v>23340.95</v>
      </c>
      <c r="E2241" s="66">
        <v>23047.25</v>
      </c>
      <c r="F2241" s="67" t="s">
        <v>510</v>
      </c>
      <c r="G2241" s="68">
        <v>-1.47E-2</v>
      </c>
      <c r="H2241" s="64"/>
    </row>
    <row r="2242" spans="1:8" x14ac:dyDescent="0.25">
      <c r="A2242" s="65">
        <v>45671</v>
      </c>
      <c r="B2242" s="66">
        <v>23176.05</v>
      </c>
      <c r="C2242" s="66">
        <v>23165.9</v>
      </c>
      <c r="D2242" s="66">
        <v>23264.95</v>
      </c>
      <c r="E2242" s="66">
        <v>23134.15</v>
      </c>
      <c r="F2242" s="67" t="s">
        <v>509</v>
      </c>
      <c r="G2242" s="68">
        <v>3.8999999999999998E-3</v>
      </c>
      <c r="H2242" s="64"/>
    </row>
    <row r="2243" spans="1:8" x14ac:dyDescent="0.25">
      <c r="A2243" s="65">
        <v>45672</v>
      </c>
      <c r="B2243" s="66">
        <v>23213.200000000001</v>
      </c>
      <c r="C2243" s="66">
        <v>23250.45</v>
      </c>
      <c r="D2243" s="66">
        <v>23293.65</v>
      </c>
      <c r="E2243" s="66">
        <v>23146.45</v>
      </c>
      <c r="F2243" s="67" t="s">
        <v>508</v>
      </c>
      <c r="G2243" s="68">
        <v>1.6000000000000001E-3</v>
      </c>
      <c r="H2243" s="64"/>
    </row>
    <row r="2244" spans="1:8" x14ac:dyDescent="0.25">
      <c r="A2244" s="65">
        <v>45673</v>
      </c>
      <c r="B2244" s="66">
        <v>23311.8</v>
      </c>
      <c r="C2244" s="66">
        <v>23377.25</v>
      </c>
      <c r="D2244" s="66">
        <v>23391.65</v>
      </c>
      <c r="E2244" s="66">
        <v>23272.05</v>
      </c>
      <c r="F2244" s="67" t="s">
        <v>507</v>
      </c>
      <c r="G2244" s="68">
        <v>4.1999999999999997E-3</v>
      </c>
      <c r="H2244" s="64"/>
    </row>
    <row r="2245" spans="1:8" x14ac:dyDescent="0.25">
      <c r="A2245" s="65">
        <v>45674</v>
      </c>
      <c r="B2245" s="66">
        <v>23203.200000000001</v>
      </c>
      <c r="C2245" s="66">
        <v>23277.1</v>
      </c>
      <c r="D2245" s="66">
        <v>23292.1</v>
      </c>
      <c r="E2245" s="66">
        <v>23100.35</v>
      </c>
      <c r="F2245" s="67" t="s">
        <v>506</v>
      </c>
      <c r="G2245" s="68">
        <v>-4.7000000000000002E-3</v>
      </c>
      <c r="H2245" s="64"/>
    </row>
    <row r="2246" spans="1:8" x14ac:dyDescent="0.25">
      <c r="A2246" s="65">
        <v>45677</v>
      </c>
      <c r="B2246" s="66">
        <v>23344.75</v>
      </c>
      <c r="C2246" s="66">
        <v>23290.400000000001</v>
      </c>
      <c r="D2246" s="66">
        <v>23391.1</v>
      </c>
      <c r="E2246" s="66">
        <v>23170.65</v>
      </c>
      <c r="F2246" s="67" t="s">
        <v>505</v>
      </c>
      <c r="G2246" s="68">
        <v>6.1000000000000004E-3</v>
      </c>
      <c r="H2246" s="64"/>
    </row>
    <row r="2247" spans="1:8" x14ac:dyDescent="0.25">
      <c r="A2247" s="65">
        <v>45678</v>
      </c>
      <c r="B2247" s="66">
        <v>23024.65</v>
      </c>
      <c r="C2247" s="66">
        <v>23421.65</v>
      </c>
      <c r="D2247" s="66">
        <v>23426.3</v>
      </c>
      <c r="E2247" s="66">
        <v>22976.85</v>
      </c>
      <c r="F2247" s="67" t="s">
        <v>504</v>
      </c>
      <c r="G2247" s="68">
        <v>-1.37E-2</v>
      </c>
      <c r="H2247" s="64"/>
    </row>
    <row r="2248" spans="1:8" x14ac:dyDescent="0.25">
      <c r="A2248" s="65">
        <v>45679</v>
      </c>
      <c r="B2248" s="66">
        <v>23155.35</v>
      </c>
      <c r="C2248" s="66">
        <v>23099.15</v>
      </c>
      <c r="D2248" s="66">
        <v>23169.55</v>
      </c>
      <c r="E2248" s="66">
        <v>22981.3</v>
      </c>
      <c r="F2248" s="67" t="s">
        <v>503</v>
      </c>
      <c r="G2248" s="68">
        <v>5.7000000000000002E-3</v>
      </c>
      <c r="H2248" s="64"/>
    </row>
    <row r="2249" spans="1:8" x14ac:dyDescent="0.25">
      <c r="A2249" s="65">
        <v>45680</v>
      </c>
      <c r="B2249" s="66">
        <v>23205.35</v>
      </c>
      <c r="C2249" s="66">
        <v>23128.3</v>
      </c>
      <c r="D2249" s="66">
        <v>23270.799999999999</v>
      </c>
      <c r="E2249" s="66">
        <v>23090.65</v>
      </c>
      <c r="F2249" s="67" t="s">
        <v>502</v>
      </c>
      <c r="G2249" s="68">
        <v>2.2000000000000001E-3</v>
      </c>
      <c r="H2249" s="64"/>
    </row>
    <row r="2250" spans="1:8" x14ac:dyDescent="0.25">
      <c r="A2250" s="65">
        <v>45681</v>
      </c>
      <c r="B2250" s="66">
        <v>23092.2</v>
      </c>
      <c r="C2250" s="66">
        <v>23183.9</v>
      </c>
      <c r="D2250" s="66">
        <v>23347.3</v>
      </c>
      <c r="E2250" s="66">
        <v>23050</v>
      </c>
      <c r="F2250" s="67" t="s">
        <v>501</v>
      </c>
      <c r="G2250" s="68">
        <v>-4.8999999999999998E-3</v>
      </c>
      <c r="H2250" s="64"/>
    </row>
    <row r="2251" spans="1:8" x14ac:dyDescent="0.25">
      <c r="A2251" s="65">
        <v>45684</v>
      </c>
      <c r="B2251" s="66">
        <v>22829.15</v>
      </c>
      <c r="C2251" s="66">
        <v>22940.15</v>
      </c>
      <c r="D2251" s="66">
        <v>23007.45</v>
      </c>
      <c r="E2251" s="66">
        <v>22786.9</v>
      </c>
      <c r="F2251" s="67" t="s">
        <v>314</v>
      </c>
      <c r="G2251" s="68">
        <v>-1.14E-2</v>
      </c>
      <c r="H2251" s="64"/>
    </row>
    <row r="2252" spans="1:8" x14ac:dyDescent="0.25">
      <c r="A2252" s="65">
        <v>45685</v>
      </c>
      <c r="B2252" s="66">
        <v>22957.25</v>
      </c>
      <c r="C2252" s="66">
        <v>22960.45</v>
      </c>
      <c r="D2252" s="66">
        <v>23137.95</v>
      </c>
      <c r="E2252" s="66">
        <v>22857.65</v>
      </c>
      <c r="F2252" s="67" t="s">
        <v>500</v>
      </c>
      <c r="G2252" s="68">
        <v>5.5999999999999999E-3</v>
      </c>
      <c r="H2252" s="64"/>
    </row>
    <row r="2253" spans="1:8" x14ac:dyDescent="0.25">
      <c r="A2253" s="65">
        <v>45686</v>
      </c>
      <c r="B2253" s="66">
        <v>23163.1</v>
      </c>
      <c r="C2253" s="66">
        <v>23026.75</v>
      </c>
      <c r="D2253" s="66">
        <v>23183.35</v>
      </c>
      <c r="E2253" s="66">
        <v>22976.5</v>
      </c>
      <c r="F2253" s="67" t="s">
        <v>499</v>
      </c>
      <c r="G2253" s="68">
        <v>8.9999999999999993E-3</v>
      </c>
      <c r="H2253" s="64"/>
    </row>
    <row r="2254" spans="1:8" x14ac:dyDescent="0.25">
      <c r="A2254" s="65">
        <v>45687</v>
      </c>
      <c r="B2254" s="66">
        <v>23249.5</v>
      </c>
      <c r="C2254" s="66">
        <v>23169.5</v>
      </c>
      <c r="D2254" s="66">
        <v>23322.05</v>
      </c>
      <c r="E2254" s="66">
        <v>23139.200000000001</v>
      </c>
      <c r="F2254" s="67" t="s">
        <v>498</v>
      </c>
      <c r="G2254" s="68">
        <v>3.7000000000000002E-3</v>
      </c>
      <c r="H2254" s="64"/>
    </row>
    <row r="2255" spans="1:8" x14ac:dyDescent="0.25">
      <c r="A2255" s="65">
        <v>45688</v>
      </c>
      <c r="B2255" s="66">
        <v>23508.400000000001</v>
      </c>
      <c r="C2255" s="66">
        <v>23296.75</v>
      </c>
      <c r="D2255" s="66">
        <v>23546.799999999999</v>
      </c>
      <c r="E2255" s="66">
        <v>23277.4</v>
      </c>
      <c r="F2255" s="67" t="s">
        <v>497</v>
      </c>
      <c r="G2255" s="68">
        <v>1.11E-2</v>
      </c>
      <c r="H2255" s="64"/>
    </row>
    <row r="2256" spans="1:8" x14ac:dyDescent="0.25">
      <c r="A2256" s="65">
        <v>45689</v>
      </c>
      <c r="B2256" s="66">
        <v>23482.15</v>
      </c>
      <c r="C2256" s="66">
        <v>23528.6</v>
      </c>
      <c r="D2256" s="66">
        <v>23632.45</v>
      </c>
      <c r="E2256" s="66">
        <v>23318.3</v>
      </c>
      <c r="F2256" s="67" t="s">
        <v>496</v>
      </c>
      <c r="G2256" s="68">
        <v>-1.1000000000000001E-3</v>
      </c>
      <c r="H2256" s="64"/>
    </row>
    <row r="2257" spans="1:8" x14ac:dyDescent="0.25">
      <c r="A2257" s="65">
        <v>45691</v>
      </c>
      <c r="B2257" s="66">
        <v>23361.05</v>
      </c>
      <c r="C2257" s="66">
        <v>23319.35</v>
      </c>
      <c r="D2257" s="66">
        <v>23381.599999999999</v>
      </c>
      <c r="E2257" s="66">
        <v>23222</v>
      </c>
      <c r="F2257" s="67" t="s">
        <v>495</v>
      </c>
      <c r="G2257" s="68">
        <v>-5.1999999999999998E-3</v>
      </c>
      <c r="H2257" s="64"/>
    </row>
    <row r="2258" spans="1:8" x14ac:dyDescent="0.25">
      <c r="A2258" s="65">
        <v>45692</v>
      </c>
      <c r="B2258" s="66">
        <v>23739.25</v>
      </c>
      <c r="C2258" s="66">
        <v>23509.9</v>
      </c>
      <c r="D2258" s="66">
        <v>23762.75</v>
      </c>
      <c r="E2258" s="66">
        <v>23423.15</v>
      </c>
      <c r="F2258" s="67" t="s">
        <v>494</v>
      </c>
      <c r="G2258" s="68">
        <v>1.6199999999999999E-2</v>
      </c>
      <c r="H2258" s="64"/>
    </row>
    <row r="2259" spans="1:8" x14ac:dyDescent="0.25">
      <c r="A2259" s="65">
        <v>45693</v>
      </c>
      <c r="B2259" s="66">
        <v>23696.3</v>
      </c>
      <c r="C2259" s="66">
        <v>23801.75</v>
      </c>
      <c r="D2259" s="66">
        <v>23807.3</v>
      </c>
      <c r="E2259" s="66">
        <v>23680.45</v>
      </c>
      <c r="F2259" s="67" t="s">
        <v>493</v>
      </c>
      <c r="G2259" s="68">
        <v>-1.8E-3</v>
      </c>
      <c r="H2259" s="64"/>
    </row>
    <row r="2260" spans="1:8" x14ac:dyDescent="0.25">
      <c r="A2260" s="65">
        <v>45694</v>
      </c>
      <c r="B2260" s="66">
        <v>23603.35</v>
      </c>
      <c r="C2260" s="66">
        <v>23761.95</v>
      </c>
      <c r="D2260" s="66">
        <v>23773.55</v>
      </c>
      <c r="E2260" s="66">
        <v>23556.25</v>
      </c>
      <c r="F2260" s="67" t="s">
        <v>492</v>
      </c>
      <c r="G2260" s="68">
        <v>-3.8999999999999998E-3</v>
      </c>
      <c r="H2260" s="64"/>
    </row>
    <row r="2261" spans="1:8" x14ac:dyDescent="0.25">
      <c r="A2261" s="65">
        <v>45695</v>
      </c>
      <c r="B2261" s="66">
        <v>23559.95</v>
      </c>
      <c r="C2261" s="66">
        <v>23649.5</v>
      </c>
      <c r="D2261" s="66">
        <v>23694.5</v>
      </c>
      <c r="E2261" s="66">
        <v>23443.200000000001</v>
      </c>
      <c r="F2261" s="67" t="s">
        <v>491</v>
      </c>
      <c r="G2261" s="68">
        <v>-1.8E-3</v>
      </c>
      <c r="H2261" s="64"/>
    </row>
    <row r="2262" spans="1:8" x14ac:dyDescent="0.25">
      <c r="A2262" s="65">
        <v>45698</v>
      </c>
      <c r="B2262" s="66">
        <v>23381.599999999999</v>
      </c>
      <c r="C2262" s="66">
        <v>23543.8</v>
      </c>
      <c r="D2262" s="66">
        <v>23568.6</v>
      </c>
      <c r="E2262" s="66">
        <v>23316.3</v>
      </c>
      <c r="F2262" s="67" t="s">
        <v>490</v>
      </c>
      <c r="G2262" s="68">
        <v>-7.6E-3</v>
      </c>
      <c r="H2262" s="64"/>
    </row>
    <row r="2263" spans="1:8" x14ac:dyDescent="0.25">
      <c r="A2263" s="65">
        <v>45699</v>
      </c>
      <c r="B2263" s="66">
        <v>23071.8</v>
      </c>
      <c r="C2263" s="66">
        <v>23383.55</v>
      </c>
      <c r="D2263" s="66">
        <v>23390.05</v>
      </c>
      <c r="E2263" s="66">
        <v>22986.65</v>
      </c>
      <c r="F2263" s="67" t="s">
        <v>489</v>
      </c>
      <c r="G2263" s="68">
        <v>-1.32E-2</v>
      </c>
      <c r="H2263" s="64"/>
    </row>
    <row r="2264" spans="1:8" x14ac:dyDescent="0.25">
      <c r="A2264" s="65">
        <v>45700</v>
      </c>
      <c r="B2264" s="66">
        <v>23045.25</v>
      </c>
      <c r="C2264" s="66">
        <v>23050.799999999999</v>
      </c>
      <c r="D2264" s="66">
        <v>23144.7</v>
      </c>
      <c r="E2264" s="66">
        <v>22798.35</v>
      </c>
      <c r="F2264" s="67" t="s">
        <v>488</v>
      </c>
      <c r="G2264" s="68">
        <v>-1.1999999999999999E-3</v>
      </c>
      <c r="H2264" s="64"/>
    </row>
    <row r="2265" spans="1:8" x14ac:dyDescent="0.25">
      <c r="A2265" s="65">
        <v>45701</v>
      </c>
      <c r="B2265" s="66">
        <v>23031.4</v>
      </c>
      <c r="C2265" s="66">
        <v>23055.75</v>
      </c>
      <c r="D2265" s="66">
        <v>23235.5</v>
      </c>
      <c r="E2265" s="66">
        <v>22992.2</v>
      </c>
      <c r="F2265" s="67" t="s">
        <v>487</v>
      </c>
      <c r="G2265" s="68">
        <v>-5.9999999999999995E-4</v>
      </c>
      <c r="H2265" s="64"/>
    </row>
    <row r="2266" spans="1:8" x14ac:dyDescent="0.25">
      <c r="A2266" s="65">
        <v>45702</v>
      </c>
      <c r="B2266" s="66">
        <v>22929.25</v>
      </c>
      <c r="C2266" s="66">
        <v>23096.45</v>
      </c>
      <c r="D2266" s="66">
        <v>23133.7</v>
      </c>
      <c r="E2266" s="66">
        <v>22774.85</v>
      </c>
      <c r="F2266" s="67" t="s">
        <v>486</v>
      </c>
      <c r="G2266" s="68">
        <v>-4.4000000000000003E-3</v>
      </c>
      <c r="H2266" s="64"/>
    </row>
    <row r="2267" spans="1:8" x14ac:dyDescent="0.25">
      <c r="A2267" s="65">
        <v>45705</v>
      </c>
      <c r="B2267" s="66">
        <v>22959.5</v>
      </c>
      <c r="C2267" s="66">
        <v>22809.9</v>
      </c>
      <c r="D2267" s="66">
        <v>22974.2</v>
      </c>
      <c r="E2267" s="66">
        <v>22725.45</v>
      </c>
      <c r="F2267" s="67" t="s">
        <v>485</v>
      </c>
      <c r="G2267" s="68">
        <v>1.2999999999999999E-3</v>
      </c>
      <c r="H2267" s="64"/>
    </row>
    <row r="2268" spans="1:8" x14ac:dyDescent="0.25">
      <c r="A2268" s="65">
        <v>45706</v>
      </c>
      <c r="B2268" s="66">
        <v>22945.3</v>
      </c>
      <c r="C2268" s="66">
        <v>22963.65</v>
      </c>
      <c r="D2268" s="66">
        <v>22992.5</v>
      </c>
      <c r="E2268" s="66">
        <v>22801.5</v>
      </c>
      <c r="F2268" s="67" t="s">
        <v>484</v>
      </c>
      <c r="G2268" s="68">
        <v>-5.9999999999999995E-4</v>
      </c>
      <c r="H2268" s="64"/>
    </row>
    <row r="2269" spans="1:8" x14ac:dyDescent="0.25">
      <c r="A2269" s="65">
        <v>45707</v>
      </c>
      <c r="B2269" s="66">
        <v>22932.9</v>
      </c>
      <c r="C2269" s="66">
        <v>22847.25</v>
      </c>
      <c r="D2269" s="66">
        <v>23049.95</v>
      </c>
      <c r="E2269" s="66">
        <v>22814.85</v>
      </c>
      <c r="F2269" s="67" t="s">
        <v>483</v>
      </c>
      <c r="G2269" s="68">
        <v>-5.0000000000000001E-4</v>
      </c>
      <c r="H2269" s="64"/>
    </row>
    <row r="2270" spans="1:8" x14ac:dyDescent="0.25">
      <c r="A2270" s="65">
        <v>45708</v>
      </c>
      <c r="B2270" s="66">
        <v>22913.15</v>
      </c>
      <c r="C2270" s="66">
        <v>22821.1</v>
      </c>
      <c r="D2270" s="66">
        <v>22923.85</v>
      </c>
      <c r="E2270" s="66">
        <v>22812.75</v>
      </c>
      <c r="F2270" s="67" t="s">
        <v>482</v>
      </c>
      <c r="G2270" s="68">
        <v>-8.9999999999999998E-4</v>
      </c>
      <c r="H2270" s="64"/>
    </row>
    <row r="2271" spans="1:8" x14ac:dyDescent="0.25">
      <c r="A2271" s="65">
        <v>45709</v>
      </c>
      <c r="B2271" s="66">
        <v>22795.9</v>
      </c>
      <c r="C2271" s="66">
        <v>22857.200000000001</v>
      </c>
      <c r="D2271" s="66">
        <v>22921</v>
      </c>
      <c r="E2271" s="66">
        <v>22720.3</v>
      </c>
      <c r="F2271" s="67" t="s">
        <v>481</v>
      </c>
      <c r="G2271" s="68">
        <v>-5.1000000000000004E-3</v>
      </c>
      <c r="H2271" s="64"/>
    </row>
    <row r="2272" spans="1:8" x14ac:dyDescent="0.25">
      <c r="A2272" s="65">
        <v>45712</v>
      </c>
      <c r="B2272" s="66">
        <v>22553.35</v>
      </c>
      <c r="C2272" s="66">
        <v>22609.35</v>
      </c>
      <c r="D2272" s="66">
        <v>22668.05</v>
      </c>
      <c r="E2272" s="66">
        <v>22518.799999999999</v>
      </c>
      <c r="F2272" s="67" t="s">
        <v>480</v>
      </c>
      <c r="G2272" s="68">
        <v>-1.06E-2</v>
      </c>
      <c r="H2272" s="64"/>
    </row>
    <row r="2273" spans="1:8" x14ac:dyDescent="0.25">
      <c r="A2273" s="65">
        <v>45713</v>
      </c>
      <c r="B2273" s="66">
        <v>22547.55</v>
      </c>
      <c r="C2273" s="66">
        <v>22516.45</v>
      </c>
      <c r="D2273" s="66">
        <v>22625.3</v>
      </c>
      <c r="E2273" s="66">
        <v>22513.9</v>
      </c>
      <c r="F2273" s="67" t="s">
        <v>479</v>
      </c>
      <c r="G2273" s="68">
        <v>-2.9999999999999997E-4</v>
      </c>
      <c r="H2273" s="64"/>
    </row>
    <row r="2274" spans="1:8" x14ac:dyDescent="0.25">
      <c r="A2274" s="65">
        <v>45715</v>
      </c>
      <c r="B2274" s="66">
        <v>22545.05</v>
      </c>
      <c r="C2274" s="66">
        <v>22568.95</v>
      </c>
      <c r="D2274" s="66">
        <v>22613.3</v>
      </c>
      <c r="E2274" s="66">
        <v>22508.400000000001</v>
      </c>
      <c r="F2274" s="67" t="s">
        <v>478</v>
      </c>
      <c r="G2274" s="68">
        <v>-1E-4</v>
      </c>
      <c r="H2274" s="64"/>
    </row>
    <row r="2275" spans="1:8" x14ac:dyDescent="0.25">
      <c r="A2275" s="65">
        <v>45716</v>
      </c>
      <c r="B2275" s="66">
        <v>22124.7</v>
      </c>
      <c r="C2275" s="66">
        <v>22433.4</v>
      </c>
      <c r="D2275" s="66">
        <v>22450.35</v>
      </c>
      <c r="E2275" s="66">
        <v>22104.85</v>
      </c>
      <c r="F2275" s="67" t="s">
        <v>477</v>
      </c>
      <c r="G2275" s="68">
        <v>-1.8599999999999998E-2</v>
      </c>
      <c r="H2275" s="64"/>
    </row>
    <row r="2276" spans="1:8" x14ac:dyDescent="0.25">
      <c r="A2276" s="65">
        <v>45719</v>
      </c>
      <c r="B2276" s="66">
        <v>22119.3</v>
      </c>
      <c r="C2276" s="66">
        <v>22194.55</v>
      </c>
      <c r="D2276" s="66">
        <v>22261.55</v>
      </c>
      <c r="E2276" s="66">
        <v>22004.7</v>
      </c>
      <c r="F2276" s="67" t="s">
        <v>476</v>
      </c>
      <c r="G2276" s="68">
        <v>-2.0000000000000001E-4</v>
      </c>
      <c r="H2276" s="64"/>
    </row>
    <row r="2277" spans="1:8" x14ac:dyDescent="0.25">
      <c r="A2277" s="65">
        <v>45720</v>
      </c>
      <c r="B2277" s="66">
        <v>22082.65</v>
      </c>
      <c r="C2277" s="66">
        <v>21974.45</v>
      </c>
      <c r="D2277" s="66">
        <v>22105.05</v>
      </c>
      <c r="E2277" s="66">
        <v>21964.6</v>
      </c>
      <c r="F2277" s="67" t="s">
        <v>475</v>
      </c>
      <c r="G2277" s="68">
        <v>-1.6999999999999999E-3</v>
      </c>
      <c r="H2277" s="64"/>
    </row>
    <row r="2278" spans="1:8" x14ac:dyDescent="0.25">
      <c r="A2278" s="65">
        <v>45721</v>
      </c>
      <c r="B2278" s="66">
        <v>22337.3</v>
      </c>
      <c r="C2278" s="66">
        <v>22073.05</v>
      </c>
      <c r="D2278" s="66">
        <v>22394.9</v>
      </c>
      <c r="E2278" s="66">
        <v>22067.8</v>
      </c>
      <c r="F2278" s="67" t="s">
        <v>474</v>
      </c>
      <c r="G2278" s="68">
        <v>1.15E-2</v>
      </c>
      <c r="H2278" s="64"/>
    </row>
    <row r="2279" spans="1:8" x14ac:dyDescent="0.25">
      <c r="A2279" s="65">
        <v>45722</v>
      </c>
      <c r="B2279" s="66">
        <v>22544.7</v>
      </c>
      <c r="C2279" s="66">
        <v>22476.35</v>
      </c>
      <c r="D2279" s="66">
        <v>22556.45</v>
      </c>
      <c r="E2279" s="66">
        <v>22245.85</v>
      </c>
      <c r="F2279" s="67" t="s">
        <v>473</v>
      </c>
      <c r="G2279" s="68">
        <v>9.2999999999999992E-3</v>
      </c>
      <c r="H2279" s="64"/>
    </row>
    <row r="2280" spans="1:8" x14ac:dyDescent="0.25">
      <c r="A2280" s="65">
        <v>45723</v>
      </c>
      <c r="B2280" s="66">
        <v>22552.5</v>
      </c>
      <c r="C2280" s="66">
        <v>22508.65</v>
      </c>
      <c r="D2280" s="66">
        <v>22633.8</v>
      </c>
      <c r="E2280" s="66">
        <v>22464.75</v>
      </c>
      <c r="F2280" s="67" t="s">
        <v>472</v>
      </c>
      <c r="G2280" s="68">
        <v>2.9999999999999997E-4</v>
      </c>
      <c r="H2280" s="64"/>
    </row>
    <row r="2281" spans="1:8" x14ac:dyDescent="0.25">
      <c r="A2281" s="65">
        <v>45726</v>
      </c>
      <c r="B2281" s="66">
        <v>22460.3</v>
      </c>
      <c r="C2281" s="66">
        <v>22521.85</v>
      </c>
      <c r="D2281" s="66">
        <v>22676.75</v>
      </c>
      <c r="E2281" s="66">
        <v>22429.05</v>
      </c>
      <c r="F2281" s="67" t="s">
        <v>471</v>
      </c>
      <c r="G2281" s="68">
        <v>-4.1000000000000003E-3</v>
      </c>
      <c r="H2281" s="64"/>
    </row>
    <row r="2282" spans="1:8" x14ac:dyDescent="0.25">
      <c r="A2282" s="65">
        <v>45727</v>
      </c>
      <c r="B2282" s="66">
        <v>22497.9</v>
      </c>
      <c r="C2282" s="66">
        <v>22345.95</v>
      </c>
      <c r="D2282" s="66">
        <v>22522.1</v>
      </c>
      <c r="E2282" s="66">
        <v>22314.7</v>
      </c>
      <c r="F2282" s="67" t="s">
        <v>470</v>
      </c>
      <c r="G2282" s="68">
        <v>1.6999999999999999E-3</v>
      </c>
      <c r="H2282" s="64"/>
    </row>
    <row r="2283" spans="1:8" x14ac:dyDescent="0.25">
      <c r="A2283" s="65">
        <v>45728</v>
      </c>
      <c r="B2283" s="66">
        <v>22470.5</v>
      </c>
      <c r="C2283" s="66">
        <v>22536.35</v>
      </c>
      <c r="D2283" s="66">
        <v>22577.4</v>
      </c>
      <c r="E2283" s="66">
        <v>22329.55</v>
      </c>
      <c r="F2283" s="67" t="s">
        <v>469</v>
      </c>
      <c r="G2283" s="68">
        <v>-1.1999999999999999E-3</v>
      </c>
      <c r="H2283" s="64"/>
    </row>
    <row r="2284" spans="1:8" x14ac:dyDescent="0.25">
      <c r="A2284" s="65">
        <v>45729</v>
      </c>
      <c r="B2284" s="66">
        <v>22397.200000000001</v>
      </c>
      <c r="C2284" s="66">
        <v>22541.5</v>
      </c>
      <c r="D2284" s="66">
        <v>22558.05</v>
      </c>
      <c r="E2284" s="66">
        <v>22377.35</v>
      </c>
      <c r="F2284" s="67" t="s">
        <v>468</v>
      </c>
      <c r="G2284" s="68">
        <v>-3.3E-3</v>
      </c>
      <c r="H2284" s="64"/>
    </row>
    <row r="2285" spans="1:8" x14ac:dyDescent="0.25">
      <c r="A2285" s="65">
        <v>45733</v>
      </c>
      <c r="B2285" s="66">
        <v>22508.75</v>
      </c>
      <c r="C2285" s="66">
        <v>22353.15</v>
      </c>
      <c r="D2285" s="66">
        <v>22577</v>
      </c>
      <c r="E2285" s="66">
        <v>22353.15</v>
      </c>
      <c r="F2285" s="67" t="s">
        <v>467</v>
      </c>
      <c r="G2285" s="68">
        <v>5.0000000000000001E-3</v>
      </c>
      <c r="H2285" s="64"/>
    </row>
    <row r="2286" spans="1:8" x14ac:dyDescent="0.25">
      <c r="A2286" s="65">
        <v>45734</v>
      </c>
      <c r="B2286" s="66">
        <v>22834.3</v>
      </c>
      <c r="C2286" s="66">
        <v>22662.25</v>
      </c>
      <c r="D2286" s="66">
        <v>22857.8</v>
      </c>
      <c r="E2286" s="66">
        <v>22599.200000000001</v>
      </c>
      <c r="F2286" s="67" t="s">
        <v>466</v>
      </c>
      <c r="G2286" s="68">
        <v>1.4500000000000001E-2</v>
      </c>
      <c r="H2286" s="64"/>
    </row>
    <row r="2287" spans="1:8" x14ac:dyDescent="0.25">
      <c r="A2287" s="65">
        <v>45735</v>
      </c>
      <c r="B2287" s="66">
        <v>22907.599999999999</v>
      </c>
      <c r="C2287" s="66">
        <v>22874.95</v>
      </c>
      <c r="D2287" s="66">
        <v>22940.7</v>
      </c>
      <c r="E2287" s="66">
        <v>22807.95</v>
      </c>
      <c r="F2287" s="67" t="s">
        <v>465</v>
      </c>
      <c r="G2287" s="68">
        <v>3.2000000000000002E-3</v>
      </c>
      <c r="H2287" s="64"/>
    </row>
    <row r="2288" spans="1:8" x14ac:dyDescent="0.25">
      <c r="A2288" s="65">
        <v>45736</v>
      </c>
      <c r="B2288" s="66">
        <v>23190.65</v>
      </c>
      <c r="C2288" s="66">
        <v>23036.6</v>
      </c>
      <c r="D2288" s="66">
        <v>23216.7</v>
      </c>
      <c r="E2288" s="66">
        <v>22973.95</v>
      </c>
      <c r="F2288" s="67" t="s">
        <v>464</v>
      </c>
      <c r="G2288" s="68">
        <v>1.24E-2</v>
      </c>
      <c r="H2288" s="64"/>
    </row>
    <row r="2289" spans="1:8" x14ac:dyDescent="0.25">
      <c r="A2289" s="65">
        <v>45737</v>
      </c>
      <c r="B2289" s="66">
        <v>23350.400000000001</v>
      </c>
      <c r="C2289" s="66">
        <v>23168.25</v>
      </c>
      <c r="D2289" s="66">
        <v>23402.7</v>
      </c>
      <c r="E2289" s="66">
        <v>23132.799999999999</v>
      </c>
      <c r="F2289" s="67" t="s">
        <v>463</v>
      </c>
      <c r="G2289" s="68">
        <v>6.8999999999999999E-3</v>
      </c>
      <c r="H2289" s="64"/>
    </row>
    <row r="2290" spans="1:8" x14ac:dyDescent="0.25">
      <c r="A2290" s="65">
        <v>45740</v>
      </c>
      <c r="B2290" s="66">
        <v>23658.35</v>
      </c>
      <c r="C2290" s="66">
        <v>23515.4</v>
      </c>
      <c r="D2290" s="66">
        <v>23708.75</v>
      </c>
      <c r="E2290" s="66">
        <v>23433.5</v>
      </c>
      <c r="F2290" s="67" t="s">
        <v>462</v>
      </c>
      <c r="G2290" s="68">
        <v>1.32E-2</v>
      </c>
      <c r="H2290" s="64"/>
    </row>
    <row r="2291" spans="1:8" x14ac:dyDescent="0.25">
      <c r="A2291" s="65">
        <v>45741</v>
      </c>
      <c r="B2291" s="66">
        <v>23668.65</v>
      </c>
      <c r="C2291" s="66">
        <v>23751.5</v>
      </c>
      <c r="D2291" s="66">
        <v>23869.599999999999</v>
      </c>
      <c r="E2291" s="66">
        <v>23601.4</v>
      </c>
      <c r="F2291" s="67" t="s">
        <v>267</v>
      </c>
      <c r="G2291" s="68">
        <v>4.0000000000000002E-4</v>
      </c>
      <c r="H2291" s="64"/>
    </row>
    <row r="2292" spans="1:8" x14ac:dyDescent="0.25">
      <c r="A2292" s="65">
        <v>45742</v>
      </c>
      <c r="B2292" s="66">
        <v>23486.85</v>
      </c>
      <c r="C2292" s="66">
        <v>23700.95</v>
      </c>
      <c r="D2292" s="66">
        <v>23736.5</v>
      </c>
      <c r="E2292" s="66">
        <v>23451.7</v>
      </c>
      <c r="F2292" s="67" t="s">
        <v>461</v>
      </c>
      <c r="G2292" s="68">
        <v>-7.7000000000000002E-3</v>
      </c>
      <c r="H2292" s="64"/>
    </row>
    <row r="2293" spans="1:8" x14ac:dyDescent="0.25">
      <c r="A2293" s="65">
        <v>45743</v>
      </c>
      <c r="B2293" s="66">
        <v>23591.95</v>
      </c>
      <c r="C2293" s="66">
        <v>23433.95</v>
      </c>
      <c r="D2293" s="66">
        <v>23646.45</v>
      </c>
      <c r="E2293" s="66">
        <v>23412.2</v>
      </c>
      <c r="F2293" s="67" t="s">
        <v>460</v>
      </c>
      <c r="G2293" s="68">
        <v>4.4999999999999997E-3</v>
      </c>
      <c r="H2293" s="64"/>
    </row>
    <row r="2294" spans="1:8" x14ac:dyDescent="0.25">
      <c r="A2294" s="65">
        <v>45744</v>
      </c>
      <c r="B2294" s="66">
        <v>23519.35</v>
      </c>
      <c r="C2294" s="66">
        <v>23600.400000000001</v>
      </c>
      <c r="D2294" s="66">
        <v>23649.200000000001</v>
      </c>
      <c r="E2294" s="66">
        <v>23450.2</v>
      </c>
      <c r="F2294" s="67" t="s">
        <v>459</v>
      </c>
      <c r="G2294" s="68">
        <v>-3.0999999999999999E-3</v>
      </c>
      <c r="H2294" s="64"/>
    </row>
    <row r="2295" spans="1:8" x14ac:dyDescent="0.25">
      <c r="A2295" s="65">
        <v>45748</v>
      </c>
      <c r="B2295" s="66">
        <v>23165.7</v>
      </c>
      <c r="C2295" s="66">
        <v>23341.1</v>
      </c>
      <c r="D2295" s="66">
        <v>23565.15</v>
      </c>
      <c r="E2295" s="66">
        <v>23136.400000000001</v>
      </c>
      <c r="F2295" s="67" t="s">
        <v>458</v>
      </c>
      <c r="G2295" s="68">
        <v>-1.4999999999999999E-2</v>
      </c>
      <c r="H2295" s="64"/>
    </row>
    <row r="2296" spans="1:8" x14ac:dyDescent="0.25">
      <c r="A2296" s="65">
        <v>45749</v>
      </c>
      <c r="B2296" s="66">
        <v>23332.35</v>
      </c>
      <c r="C2296" s="66">
        <v>23192.6</v>
      </c>
      <c r="D2296" s="66">
        <v>23350</v>
      </c>
      <c r="E2296" s="66">
        <v>23158.45</v>
      </c>
      <c r="F2296" s="67" t="s">
        <v>457</v>
      </c>
      <c r="G2296" s="68">
        <v>7.1999999999999998E-3</v>
      </c>
      <c r="H2296" s="64"/>
    </row>
    <row r="2297" spans="1:8" x14ac:dyDescent="0.25">
      <c r="A2297" s="65">
        <v>45750</v>
      </c>
      <c r="B2297" s="66">
        <v>23250.1</v>
      </c>
      <c r="C2297" s="66">
        <v>23150.3</v>
      </c>
      <c r="D2297" s="66">
        <v>23306.5</v>
      </c>
      <c r="E2297" s="66">
        <v>23145.8</v>
      </c>
      <c r="F2297" s="67" t="s">
        <v>456</v>
      </c>
      <c r="G2297" s="68">
        <v>-3.5000000000000001E-3</v>
      </c>
      <c r="H2297" s="64"/>
    </row>
    <row r="2298" spans="1:8" x14ac:dyDescent="0.25">
      <c r="A2298" s="65">
        <v>45751</v>
      </c>
      <c r="B2298" s="66">
        <v>22904.45</v>
      </c>
      <c r="C2298" s="66">
        <v>23190.400000000001</v>
      </c>
      <c r="D2298" s="66">
        <v>23214.7</v>
      </c>
      <c r="E2298" s="66">
        <v>22857.45</v>
      </c>
      <c r="F2298" s="67" t="s">
        <v>455</v>
      </c>
      <c r="G2298" s="68">
        <v>-1.49E-2</v>
      </c>
      <c r="H2298" s="64"/>
    </row>
    <row r="2299" spans="1:8" x14ac:dyDescent="0.25">
      <c r="A2299" s="65">
        <v>45754</v>
      </c>
      <c r="B2299" s="66">
        <v>22161.599999999999</v>
      </c>
      <c r="C2299" s="66">
        <v>21758.400000000001</v>
      </c>
      <c r="D2299" s="66">
        <v>22254</v>
      </c>
      <c r="E2299" s="66">
        <v>21743.65</v>
      </c>
      <c r="F2299" s="67" t="s">
        <v>454</v>
      </c>
      <c r="G2299" s="68">
        <v>-3.2399999999999998E-2</v>
      </c>
      <c r="H2299" s="64"/>
    </row>
    <row r="2300" spans="1:8" x14ac:dyDescent="0.25">
      <c r="A2300" s="65">
        <v>45755</v>
      </c>
      <c r="B2300" s="66">
        <v>22535.85</v>
      </c>
      <c r="C2300" s="66">
        <v>22446.75</v>
      </c>
      <c r="D2300" s="66">
        <v>22697.200000000001</v>
      </c>
      <c r="E2300" s="66">
        <v>22270.85</v>
      </c>
      <c r="F2300" s="67" t="s">
        <v>453</v>
      </c>
      <c r="G2300" s="68">
        <v>1.6899999999999998E-2</v>
      </c>
      <c r="H2300" s="64"/>
    </row>
    <row r="2301" spans="1:8" x14ac:dyDescent="0.25">
      <c r="A2301" s="65">
        <v>45756</v>
      </c>
      <c r="B2301" s="66">
        <v>22399.15</v>
      </c>
      <c r="C2301" s="66">
        <v>22460.3</v>
      </c>
      <c r="D2301" s="66">
        <v>22468.7</v>
      </c>
      <c r="E2301" s="66">
        <v>22353.25</v>
      </c>
      <c r="F2301" s="67" t="s">
        <v>452</v>
      </c>
      <c r="G2301" s="68">
        <v>-6.1000000000000004E-3</v>
      </c>
      <c r="H2301" s="64"/>
    </row>
    <row r="2302" spans="1:8" x14ac:dyDescent="0.25">
      <c r="A2302" s="65">
        <v>45758</v>
      </c>
      <c r="B2302" s="66">
        <v>22828.55</v>
      </c>
      <c r="C2302" s="66">
        <v>22695.4</v>
      </c>
      <c r="D2302" s="66">
        <v>22923.9</v>
      </c>
      <c r="E2302" s="66">
        <v>22695.4</v>
      </c>
      <c r="F2302" s="67" t="s">
        <v>451</v>
      </c>
      <c r="G2302" s="68">
        <v>1.9199999999999998E-2</v>
      </c>
      <c r="H2302" s="64"/>
    </row>
    <row r="2303" spans="1:8" x14ac:dyDescent="0.25">
      <c r="A2303" s="65">
        <v>45762</v>
      </c>
      <c r="B2303" s="66">
        <v>23328.55</v>
      </c>
      <c r="C2303" s="66">
        <v>23368.35</v>
      </c>
      <c r="D2303" s="66">
        <v>23368.35</v>
      </c>
      <c r="E2303" s="66">
        <v>23207</v>
      </c>
      <c r="F2303" s="67" t="s">
        <v>450</v>
      </c>
      <c r="G2303" s="68">
        <v>2.1899999999999999E-2</v>
      </c>
      <c r="H2303" s="64"/>
    </row>
    <row r="2304" spans="1:8" x14ac:dyDescent="0.25">
      <c r="A2304" s="65">
        <v>45763</v>
      </c>
      <c r="B2304" s="66">
        <v>23437.200000000001</v>
      </c>
      <c r="C2304" s="66">
        <v>23344.1</v>
      </c>
      <c r="D2304" s="66">
        <v>23452.2</v>
      </c>
      <c r="E2304" s="66">
        <v>23273.05</v>
      </c>
      <c r="F2304" s="67" t="s">
        <v>449</v>
      </c>
      <c r="G2304" s="68">
        <v>4.7000000000000002E-3</v>
      </c>
      <c r="H2304" s="64"/>
    </row>
    <row r="2305" spans="1:8" x14ac:dyDescent="0.25">
      <c r="A2305" s="65">
        <v>45764</v>
      </c>
      <c r="B2305" s="66">
        <v>23851.65</v>
      </c>
      <c r="C2305" s="66">
        <v>23401.85</v>
      </c>
      <c r="D2305" s="66">
        <v>23872.35</v>
      </c>
      <c r="E2305" s="66">
        <v>23298.55</v>
      </c>
      <c r="F2305" s="67" t="s">
        <v>448</v>
      </c>
      <c r="G2305" s="68">
        <v>1.77E-2</v>
      </c>
      <c r="H2305" s="64"/>
    </row>
    <row r="2306" spans="1:8" x14ac:dyDescent="0.25">
      <c r="A2306" s="65">
        <v>45768</v>
      </c>
      <c r="B2306" s="66">
        <v>24125.55</v>
      </c>
      <c r="C2306" s="66">
        <v>23949.15</v>
      </c>
      <c r="D2306" s="66">
        <v>24189.55</v>
      </c>
      <c r="E2306" s="66">
        <v>23903.65</v>
      </c>
      <c r="F2306" s="67" t="s">
        <v>447</v>
      </c>
      <c r="G2306" s="68">
        <v>1.15E-2</v>
      </c>
      <c r="H2306" s="64"/>
    </row>
    <row r="2307" spans="1:8" x14ac:dyDescent="0.25">
      <c r="A2307" s="65">
        <v>45769</v>
      </c>
      <c r="B2307" s="66">
        <v>24167.25</v>
      </c>
      <c r="C2307" s="66">
        <v>24185.4</v>
      </c>
      <c r="D2307" s="66">
        <v>24242.6</v>
      </c>
      <c r="E2307" s="66">
        <v>24072</v>
      </c>
      <c r="F2307" s="67" t="s">
        <v>446</v>
      </c>
      <c r="G2307" s="68">
        <v>1.6999999999999999E-3</v>
      </c>
      <c r="H2307" s="64"/>
    </row>
    <row r="2308" spans="1:8" x14ac:dyDescent="0.25">
      <c r="A2308" s="65">
        <v>45770</v>
      </c>
      <c r="B2308" s="66">
        <v>24328.95</v>
      </c>
      <c r="C2308" s="66">
        <v>24357.599999999999</v>
      </c>
      <c r="D2308" s="66">
        <v>24359.3</v>
      </c>
      <c r="E2308" s="66">
        <v>24119.95</v>
      </c>
      <c r="F2308" s="67" t="s">
        <v>445</v>
      </c>
      <c r="G2308" s="68">
        <v>6.7000000000000002E-3</v>
      </c>
      <c r="H2308" s="64"/>
    </row>
    <row r="2309" spans="1:8" x14ac:dyDescent="0.25">
      <c r="A2309" s="65">
        <v>45771</v>
      </c>
      <c r="B2309" s="66">
        <v>24246.7</v>
      </c>
      <c r="C2309" s="66">
        <v>24277.9</v>
      </c>
      <c r="D2309" s="66">
        <v>24347.85</v>
      </c>
      <c r="E2309" s="66">
        <v>24216.15</v>
      </c>
      <c r="F2309" s="67" t="s">
        <v>444</v>
      </c>
      <c r="G2309" s="68">
        <v>-3.3999999999999998E-3</v>
      </c>
      <c r="H2309" s="64"/>
    </row>
    <row r="2310" spans="1:8" x14ac:dyDescent="0.25">
      <c r="A2310" s="65">
        <v>45772</v>
      </c>
      <c r="B2310" s="66">
        <v>24039.35</v>
      </c>
      <c r="C2310" s="66">
        <v>24289</v>
      </c>
      <c r="D2310" s="66">
        <v>24365.45</v>
      </c>
      <c r="E2310" s="66">
        <v>23847.85</v>
      </c>
      <c r="F2310" s="67" t="s">
        <v>443</v>
      </c>
      <c r="G2310" s="68">
        <v>-8.6E-3</v>
      </c>
      <c r="H2310" s="64"/>
    </row>
    <row r="2311" spans="1:8" x14ac:dyDescent="0.25">
      <c r="A2311" s="65">
        <v>45775</v>
      </c>
      <c r="B2311" s="66">
        <v>24328.5</v>
      </c>
      <c r="C2311" s="66">
        <v>24070.25</v>
      </c>
      <c r="D2311" s="66">
        <v>24355.1</v>
      </c>
      <c r="E2311" s="66">
        <v>24054.05</v>
      </c>
      <c r="F2311" s="67" t="s">
        <v>442</v>
      </c>
      <c r="G2311" s="68">
        <v>1.2E-2</v>
      </c>
      <c r="H2311" s="64"/>
    </row>
    <row r="2312" spans="1:8" x14ac:dyDescent="0.25">
      <c r="A2312" s="65">
        <v>45776</v>
      </c>
      <c r="B2312" s="66">
        <v>24335.95</v>
      </c>
      <c r="C2312" s="66">
        <v>24370.7</v>
      </c>
      <c r="D2312" s="66">
        <v>24457.65</v>
      </c>
      <c r="E2312" s="66">
        <v>24290.75</v>
      </c>
      <c r="F2312" s="67" t="s">
        <v>441</v>
      </c>
      <c r="G2312" s="68">
        <v>2.9999999999999997E-4</v>
      </c>
      <c r="H2312" s="64"/>
    </row>
    <row r="2313" spans="1:8" x14ac:dyDescent="0.25">
      <c r="A2313" s="65">
        <v>45777</v>
      </c>
      <c r="B2313" s="66">
        <v>24334.2</v>
      </c>
      <c r="C2313" s="66">
        <v>24342.05</v>
      </c>
      <c r="D2313" s="66">
        <v>24396.15</v>
      </c>
      <c r="E2313" s="66">
        <v>24198.75</v>
      </c>
      <c r="F2313" s="67" t="s">
        <v>440</v>
      </c>
      <c r="G2313" s="68">
        <v>-1E-4</v>
      </c>
      <c r="H2313" s="64"/>
    </row>
    <row r="2314" spans="1:8" x14ac:dyDescent="0.25">
      <c r="A2314" s="65">
        <v>45779</v>
      </c>
      <c r="B2314" s="66">
        <v>24346.7</v>
      </c>
      <c r="C2314" s="66">
        <v>24311.9</v>
      </c>
      <c r="D2314" s="66">
        <v>24589.15</v>
      </c>
      <c r="E2314" s="66">
        <v>24238.5</v>
      </c>
      <c r="F2314" s="67" t="s">
        <v>439</v>
      </c>
      <c r="G2314" s="68">
        <v>5.0000000000000001E-4</v>
      </c>
      <c r="H2314" s="64"/>
    </row>
    <row r="2315" spans="1:8" x14ac:dyDescent="0.25">
      <c r="A2315" s="65">
        <v>45782</v>
      </c>
      <c r="B2315" s="66">
        <v>24461.15</v>
      </c>
      <c r="C2315" s="66">
        <v>24419.5</v>
      </c>
      <c r="D2315" s="66">
        <v>24526.400000000001</v>
      </c>
      <c r="E2315" s="66">
        <v>24400.65</v>
      </c>
      <c r="F2315" s="67" t="s">
        <v>438</v>
      </c>
      <c r="G2315" s="68">
        <v>4.7000000000000002E-3</v>
      </c>
      <c r="H2315" s="64"/>
    </row>
    <row r="2316" spans="1:8" x14ac:dyDescent="0.25">
      <c r="A2316" s="65">
        <v>45783</v>
      </c>
      <c r="B2316" s="66">
        <v>24379.599999999999</v>
      </c>
      <c r="C2316" s="66">
        <v>24500.75</v>
      </c>
      <c r="D2316" s="66">
        <v>24509.65</v>
      </c>
      <c r="E2316" s="66">
        <v>24331.8</v>
      </c>
      <c r="F2316" s="67" t="s">
        <v>437</v>
      </c>
      <c r="G2316" s="68">
        <v>-3.3E-3</v>
      </c>
      <c r="H2316" s="64"/>
    </row>
    <row r="2317" spans="1:8" x14ac:dyDescent="0.25">
      <c r="A2317" s="65">
        <v>45784</v>
      </c>
      <c r="B2317" s="66">
        <v>24414.400000000001</v>
      </c>
      <c r="C2317" s="66">
        <v>24233.3</v>
      </c>
      <c r="D2317" s="66">
        <v>24449.599999999999</v>
      </c>
      <c r="E2317" s="66">
        <v>24220</v>
      </c>
      <c r="F2317" s="67" t="s">
        <v>436</v>
      </c>
      <c r="G2317" s="68">
        <v>1.4E-3</v>
      </c>
      <c r="H2317" s="64"/>
    </row>
    <row r="2318" spans="1:8" x14ac:dyDescent="0.25">
      <c r="A2318" s="65">
        <v>45785</v>
      </c>
      <c r="B2318" s="66">
        <v>24273.8</v>
      </c>
      <c r="C2318" s="66">
        <v>24431.5</v>
      </c>
      <c r="D2318" s="66">
        <v>24447.25</v>
      </c>
      <c r="E2318" s="66">
        <v>24150.2</v>
      </c>
      <c r="F2318" s="67" t="s">
        <v>435</v>
      </c>
      <c r="G2318" s="68">
        <v>-5.7999999999999996E-3</v>
      </c>
      <c r="H2318" s="64"/>
    </row>
    <row r="2319" spans="1:8" x14ac:dyDescent="0.25">
      <c r="A2319" s="65">
        <v>45786</v>
      </c>
      <c r="B2319" s="66">
        <v>24008</v>
      </c>
      <c r="C2319" s="66">
        <v>23935.75</v>
      </c>
      <c r="D2319" s="66">
        <v>24164.25</v>
      </c>
      <c r="E2319" s="66">
        <v>23935.75</v>
      </c>
      <c r="F2319" s="67" t="s">
        <v>434</v>
      </c>
      <c r="G2319" s="68">
        <v>-1.0999999999999999E-2</v>
      </c>
      <c r="H2319" s="64"/>
    </row>
    <row r="2320" spans="1:8" x14ac:dyDescent="0.25">
      <c r="A2320" s="65">
        <v>45789</v>
      </c>
      <c r="B2320" s="66">
        <v>24924.7</v>
      </c>
      <c r="C2320" s="66">
        <v>24420.1</v>
      </c>
      <c r="D2320" s="66">
        <v>24944.799999999999</v>
      </c>
      <c r="E2320" s="66">
        <v>24378.85</v>
      </c>
      <c r="F2320" s="67" t="s">
        <v>433</v>
      </c>
      <c r="G2320" s="68">
        <v>3.8199999999999998E-2</v>
      </c>
      <c r="H2320" s="64"/>
    </row>
    <row r="2321" spans="1:8" x14ac:dyDescent="0.25">
      <c r="A2321" s="65">
        <v>45790</v>
      </c>
      <c r="B2321" s="66">
        <v>24578.35</v>
      </c>
      <c r="C2321" s="66">
        <v>24864.05</v>
      </c>
      <c r="D2321" s="66">
        <v>24973.8</v>
      </c>
      <c r="E2321" s="66">
        <v>24547.5</v>
      </c>
      <c r="F2321" s="67" t="s">
        <v>432</v>
      </c>
      <c r="G2321" s="68">
        <v>-1.3899999999999999E-2</v>
      </c>
      <c r="H2321" s="64"/>
    </row>
    <row r="2322" spans="1:8" x14ac:dyDescent="0.25">
      <c r="A2322" s="65">
        <v>45791</v>
      </c>
      <c r="B2322" s="66">
        <v>24666.9</v>
      </c>
      <c r="C2322" s="66">
        <v>24613.8</v>
      </c>
      <c r="D2322" s="66">
        <v>24767.55</v>
      </c>
      <c r="E2322" s="66">
        <v>24535.55</v>
      </c>
      <c r="F2322" s="67" t="s">
        <v>431</v>
      </c>
      <c r="G2322" s="68">
        <v>3.5999999999999999E-3</v>
      </c>
      <c r="H2322" s="64"/>
    </row>
    <row r="2323" spans="1:8" x14ac:dyDescent="0.25">
      <c r="A2323" s="65">
        <v>45792</v>
      </c>
      <c r="B2323" s="66">
        <v>25062.1</v>
      </c>
      <c r="C2323" s="66">
        <v>24694.45</v>
      </c>
      <c r="D2323" s="66">
        <v>25116.25</v>
      </c>
      <c r="E2323" s="66">
        <v>24494.45</v>
      </c>
      <c r="F2323" s="67" t="s">
        <v>430</v>
      </c>
      <c r="G2323" s="68">
        <v>1.6E-2</v>
      </c>
      <c r="H2323" s="64"/>
    </row>
    <row r="2324" spans="1:8" x14ac:dyDescent="0.25">
      <c r="A2324" s="65">
        <v>45793</v>
      </c>
      <c r="B2324" s="66">
        <v>25019.8</v>
      </c>
      <c r="C2324" s="66">
        <v>25064.65</v>
      </c>
      <c r="D2324" s="66">
        <v>25070</v>
      </c>
      <c r="E2324" s="66">
        <v>24953.05</v>
      </c>
      <c r="F2324" s="67" t="s">
        <v>429</v>
      </c>
      <c r="G2324" s="68">
        <v>-1.6999999999999999E-3</v>
      </c>
      <c r="H2324" s="64"/>
    </row>
    <row r="2325" spans="1:8" x14ac:dyDescent="0.25">
      <c r="A2325" s="65">
        <v>45796</v>
      </c>
      <c r="B2325" s="66">
        <v>24945.45</v>
      </c>
      <c r="C2325" s="66">
        <v>25005.35</v>
      </c>
      <c r="D2325" s="66">
        <v>25062.95</v>
      </c>
      <c r="E2325" s="66">
        <v>24916.65</v>
      </c>
      <c r="F2325" s="67" t="s">
        <v>428</v>
      </c>
      <c r="G2325" s="68">
        <v>-3.0000000000000001E-3</v>
      </c>
      <c r="H2325" s="64"/>
    </row>
    <row r="2326" spans="1:8" x14ac:dyDescent="0.25">
      <c r="A2326" s="65">
        <v>45797</v>
      </c>
      <c r="B2326" s="66">
        <v>24683.9</v>
      </c>
      <c r="C2326" s="66">
        <v>24996.2</v>
      </c>
      <c r="D2326" s="66">
        <v>25010.35</v>
      </c>
      <c r="E2326" s="66">
        <v>24669.7</v>
      </c>
      <c r="F2326" s="67" t="s">
        <v>427</v>
      </c>
      <c r="G2326" s="68">
        <v>-1.0500000000000001E-2</v>
      </c>
      <c r="H2326" s="64"/>
    </row>
    <row r="2327" spans="1:8" x14ac:dyDescent="0.25">
      <c r="A2327" s="65">
        <v>45798</v>
      </c>
      <c r="B2327" s="66">
        <v>24813.45</v>
      </c>
      <c r="C2327" s="66">
        <v>24744.25</v>
      </c>
      <c r="D2327" s="66">
        <v>24946.2</v>
      </c>
      <c r="E2327" s="66">
        <v>24685.35</v>
      </c>
      <c r="F2327" s="67" t="s">
        <v>426</v>
      </c>
      <c r="G2327" s="68">
        <v>5.1999999999999998E-3</v>
      </c>
      <c r="H2327" s="64"/>
    </row>
    <row r="2328" spans="1:8" x14ac:dyDescent="0.25">
      <c r="A2328" s="65">
        <v>45799</v>
      </c>
      <c r="B2328" s="66">
        <v>24609.7</v>
      </c>
      <c r="C2328" s="66">
        <v>24733.95</v>
      </c>
      <c r="D2328" s="66">
        <v>24737.5</v>
      </c>
      <c r="E2328" s="66">
        <v>24462.400000000001</v>
      </c>
      <c r="F2328" s="67" t="s">
        <v>425</v>
      </c>
      <c r="G2328" s="68">
        <v>-8.2000000000000007E-3</v>
      </c>
      <c r="H2328" s="64"/>
    </row>
    <row r="2329" spans="1:8" x14ac:dyDescent="0.25">
      <c r="A2329" s="65">
        <v>45800</v>
      </c>
      <c r="B2329" s="66">
        <v>24853.15</v>
      </c>
      <c r="C2329" s="66">
        <v>24639.5</v>
      </c>
      <c r="D2329" s="66">
        <v>24909.05</v>
      </c>
      <c r="E2329" s="66">
        <v>24614.05</v>
      </c>
      <c r="F2329" s="67" t="s">
        <v>424</v>
      </c>
      <c r="G2329" s="68">
        <v>9.9000000000000008E-3</v>
      </c>
      <c r="H2329" s="64"/>
    </row>
    <row r="2330" spans="1:8" x14ac:dyDescent="0.25">
      <c r="A2330" s="65">
        <v>45803</v>
      </c>
      <c r="B2330" s="66">
        <v>25001.15</v>
      </c>
      <c r="C2330" s="66">
        <v>24919.35</v>
      </c>
      <c r="D2330" s="66">
        <v>25079.200000000001</v>
      </c>
      <c r="E2330" s="66">
        <v>24900.5</v>
      </c>
      <c r="F2330" s="67" t="s">
        <v>423</v>
      </c>
      <c r="G2330" s="68">
        <v>6.0000000000000001E-3</v>
      </c>
      <c r="H2330" s="64"/>
    </row>
    <row r="2331" spans="1:8" x14ac:dyDescent="0.25">
      <c r="A2331" s="65">
        <v>45804</v>
      </c>
      <c r="B2331" s="66">
        <v>24826.2</v>
      </c>
      <c r="C2331" s="66">
        <v>24956.65</v>
      </c>
      <c r="D2331" s="66">
        <v>25062.9</v>
      </c>
      <c r="E2331" s="66">
        <v>24704.1</v>
      </c>
      <c r="F2331" s="67" t="s">
        <v>422</v>
      </c>
      <c r="G2331" s="68">
        <v>-7.0000000000000001E-3</v>
      </c>
      <c r="H2331" s="64"/>
    </row>
    <row r="2332" spans="1:8" x14ac:dyDescent="0.25">
      <c r="A2332" s="65">
        <v>45805</v>
      </c>
      <c r="B2332" s="66">
        <v>24752.45</v>
      </c>
      <c r="C2332" s="66">
        <v>24832.5</v>
      </c>
      <c r="D2332" s="66">
        <v>24864.25</v>
      </c>
      <c r="E2332" s="66">
        <v>24737.05</v>
      </c>
      <c r="F2332" s="67" t="s">
        <v>421</v>
      </c>
      <c r="G2332" s="68">
        <v>-3.0000000000000001E-3</v>
      </c>
      <c r="H2332" s="64"/>
    </row>
    <row r="2333" spans="1:8" x14ac:dyDescent="0.25">
      <c r="A2333" s="65">
        <v>45806</v>
      </c>
      <c r="B2333" s="66">
        <v>24833.599999999999</v>
      </c>
      <c r="C2333" s="66">
        <v>24825.1</v>
      </c>
      <c r="D2333" s="66">
        <v>24892.6</v>
      </c>
      <c r="E2333" s="66">
        <v>24677.3</v>
      </c>
      <c r="F2333" s="67" t="s">
        <v>420</v>
      </c>
      <c r="G2333" s="68">
        <v>3.3E-3</v>
      </c>
      <c r="H2333" s="64"/>
    </row>
    <row r="2334" spans="1:8" x14ac:dyDescent="0.25">
      <c r="A2334" s="65">
        <v>45807</v>
      </c>
      <c r="B2334" s="66">
        <v>24750.7</v>
      </c>
      <c r="C2334" s="66">
        <v>24812.6</v>
      </c>
      <c r="D2334" s="66">
        <v>24863.95</v>
      </c>
      <c r="E2334" s="66">
        <v>24717.4</v>
      </c>
      <c r="F2334" s="67" t="s">
        <v>419</v>
      </c>
      <c r="G2334" s="68">
        <v>-3.3E-3</v>
      </c>
      <c r="H2334" s="64"/>
    </row>
    <row r="2335" spans="1:8" x14ac:dyDescent="0.25">
      <c r="A2335" s="65">
        <v>45810</v>
      </c>
      <c r="B2335" s="66">
        <v>24716.6</v>
      </c>
      <c r="C2335" s="66">
        <v>24669.7</v>
      </c>
      <c r="D2335" s="66">
        <v>24754.400000000001</v>
      </c>
      <c r="E2335" s="66">
        <v>24526.15</v>
      </c>
      <c r="F2335" s="67" t="s">
        <v>418</v>
      </c>
      <c r="G2335" s="68">
        <v>-1.4E-3</v>
      </c>
      <c r="H2335" s="64"/>
    </row>
    <row r="2336" spans="1:8" x14ac:dyDescent="0.25">
      <c r="A2336" s="65">
        <v>45811</v>
      </c>
      <c r="B2336" s="66">
        <v>24542.5</v>
      </c>
      <c r="C2336" s="66">
        <v>24786.3</v>
      </c>
      <c r="D2336" s="66">
        <v>24845.1</v>
      </c>
      <c r="E2336" s="66">
        <v>24502.15</v>
      </c>
      <c r="F2336" s="67" t="s">
        <v>417</v>
      </c>
      <c r="G2336" s="68">
        <v>-7.0000000000000001E-3</v>
      </c>
      <c r="H2336" s="64"/>
    </row>
    <row r="2337" spans="1:8" x14ac:dyDescent="0.25">
      <c r="A2337" s="65">
        <v>45812</v>
      </c>
      <c r="B2337" s="66">
        <v>24620.2</v>
      </c>
      <c r="C2337" s="66">
        <v>24560.45</v>
      </c>
      <c r="D2337" s="66">
        <v>24644.25</v>
      </c>
      <c r="E2337" s="66">
        <v>24530.45</v>
      </c>
      <c r="F2337" s="67" t="s">
        <v>416</v>
      </c>
      <c r="G2337" s="68">
        <v>3.2000000000000002E-3</v>
      </c>
      <c r="H2337" s="64"/>
    </row>
    <row r="2338" spans="1:8" x14ac:dyDescent="0.25">
      <c r="A2338" s="65">
        <v>45813</v>
      </c>
      <c r="B2338" s="66">
        <v>24750.9</v>
      </c>
      <c r="C2338" s="66">
        <v>24691.200000000001</v>
      </c>
      <c r="D2338" s="66">
        <v>24899.85</v>
      </c>
      <c r="E2338" s="66">
        <v>24613.1</v>
      </c>
      <c r="F2338" s="67" t="s">
        <v>415</v>
      </c>
      <c r="G2338" s="68">
        <v>5.3E-3</v>
      </c>
      <c r="H2338" s="64"/>
    </row>
    <row r="2339" spans="1:8" x14ac:dyDescent="0.25">
      <c r="A2339" s="65">
        <v>45814</v>
      </c>
      <c r="B2339" s="66">
        <v>25003.05</v>
      </c>
      <c r="C2339" s="66">
        <v>24748.7</v>
      </c>
      <c r="D2339" s="66">
        <v>25029.5</v>
      </c>
      <c r="E2339" s="66">
        <v>24671.45</v>
      </c>
      <c r="F2339" s="67" t="s">
        <v>414</v>
      </c>
      <c r="G2339" s="68">
        <v>1.0200000000000001E-2</v>
      </c>
      <c r="H2339" s="64"/>
    </row>
    <row r="2340" spans="1:8" x14ac:dyDescent="0.25">
      <c r="A2340" s="65">
        <v>45817</v>
      </c>
      <c r="B2340" s="66">
        <v>25103.200000000001</v>
      </c>
      <c r="C2340" s="66">
        <v>25160.1</v>
      </c>
      <c r="D2340" s="66">
        <v>25160.1</v>
      </c>
      <c r="E2340" s="66">
        <v>25077.15</v>
      </c>
      <c r="F2340" s="67" t="s">
        <v>413</v>
      </c>
      <c r="G2340" s="68">
        <v>4.0000000000000001E-3</v>
      </c>
      <c r="H2340" s="64"/>
    </row>
    <row r="2341" spans="1:8" x14ac:dyDescent="0.25">
      <c r="A2341" s="65">
        <v>45818</v>
      </c>
      <c r="B2341" s="66">
        <v>25104.25</v>
      </c>
      <c r="C2341" s="66">
        <v>25196.05</v>
      </c>
      <c r="D2341" s="66">
        <v>25199.3</v>
      </c>
      <c r="E2341" s="66">
        <v>25055.45</v>
      </c>
      <c r="F2341" s="67" t="s">
        <v>412</v>
      </c>
      <c r="G2341" s="68">
        <v>0</v>
      </c>
      <c r="H2341" s="64"/>
    </row>
    <row r="2342" spans="1:8" x14ac:dyDescent="0.25">
      <c r="A2342" s="65">
        <v>45819</v>
      </c>
      <c r="B2342" s="66">
        <v>25141.4</v>
      </c>
      <c r="C2342" s="66">
        <v>25134.15</v>
      </c>
      <c r="D2342" s="66">
        <v>25222.400000000001</v>
      </c>
      <c r="E2342" s="66">
        <v>25081.3</v>
      </c>
      <c r="F2342" s="67" t="s">
        <v>411</v>
      </c>
      <c r="G2342" s="68">
        <v>1.5E-3</v>
      </c>
      <c r="H2342" s="64"/>
    </row>
    <row r="2343" spans="1:8" x14ac:dyDescent="0.25">
      <c r="A2343" s="65">
        <v>45820</v>
      </c>
      <c r="B2343" s="66">
        <v>24888.2</v>
      </c>
      <c r="C2343" s="66">
        <v>25164.45</v>
      </c>
      <c r="D2343" s="66">
        <v>25196.2</v>
      </c>
      <c r="E2343" s="66">
        <v>24825.9</v>
      </c>
      <c r="F2343" s="67" t="s">
        <v>410</v>
      </c>
      <c r="G2343" s="68">
        <v>-1.01E-2</v>
      </c>
      <c r="H2343" s="64"/>
    </row>
    <row r="2344" spans="1:8" x14ac:dyDescent="0.25">
      <c r="A2344" s="65">
        <v>45821</v>
      </c>
      <c r="B2344" s="66">
        <v>24718.6</v>
      </c>
      <c r="C2344" s="66">
        <v>24473</v>
      </c>
      <c r="D2344" s="66">
        <v>24754.35</v>
      </c>
      <c r="E2344" s="66">
        <v>24473</v>
      </c>
      <c r="F2344" s="67" t="s">
        <v>409</v>
      </c>
      <c r="G2344" s="68">
        <v>-6.7999999999999996E-3</v>
      </c>
      <c r="H2344" s="64"/>
    </row>
    <row r="2345" spans="1:8" x14ac:dyDescent="0.25">
      <c r="A2345" s="65">
        <v>45824</v>
      </c>
      <c r="B2345" s="66">
        <v>24946.5</v>
      </c>
      <c r="C2345" s="66">
        <v>24732.35</v>
      </c>
      <c r="D2345" s="66">
        <v>24967.1</v>
      </c>
      <c r="E2345" s="66">
        <v>24703.599999999999</v>
      </c>
      <c r="F2345" s="67" t="s">
        <v>408</v>
      </c>
      <c r="G2345" s="68">
        <v>9.1999999999999998E-3</v>
      </c>
      <c r="H2345" s="64"/>
    </row>
    <row r="2346" spans="1:8" x14ac:dyDescent="0.25">
      <c r="A2346" s="65">
        <v>45825</v>
      </c>
      <c r="B2346" s="66">
        <v>24853.4</v>
      </c>
      <c r="C2346" s="66">
        <v>24977.85</v>
      </c>
      <c r="D2346" s="66">
        <v>24982.05</v>
      </c>
      <c r="E2346" s="66">
        <v>24813.7</v>
      </c>
      <c r="F2346" s="67" t="s">
        <v>407</v>
      </c>
      <c r="G2346" s="68">
        <v>-3.7000000000000002E-3</v>
      </c>
      <c r="H2346" s="64"/>
    </row>
    <row r="2347" spans="1:8" x14ac:dyDescent="0.25">
      <c r="A2347" s="65">
        <v>45826</v>
      </c>
      <c r="B2347" s="66">
        <v>24812.05</v>
      </c>
      <c r="C2347" s="66">
        <v>24788.35</v>
      </c>
      <c r="D2347" s="66">
        <v>24947.55</v>
      </c>
      <c r="E2347" s="66">
        <v>24750.45</v>
      </c>
      <c r="F2347" s="67" t="s">
        <v>406</v>
      </c>
      <c r="G2347" s="68">
        <v>-1.6999999999999999E-3</v>
      </c>
      <c r="H2347" s="64"/>
    </row>
    <row r="2348" spans="1:8" x14ac:dyDescent="0.25">
      <c r="A2348" s="65">
        <v>45827</v>
      </c>
      <c r="B2348" s="66">
        <v>24793.25</v>
      </c>
      <c r="C2348" s="66">
        <v>24803.25</v>
      </c>
      <c r="D2348" s="66">
        <v>24863.1</v>
      </c>
      <c r="E2348" s="66">
        <v>24733.4</v>
      </c>
      <c r="F2348" s="67" t="s">
        <v>405</v>
      </c>
      <c r="G2348" s="68">
        <v>-8.0000000000000004E-4</v>
      </c>
      <c r="H2348" s="64"/>
    </row>
    <row r="2349" spans="1:8" x14ac:dyDescent="0.25">
      <c r="A2349" s="65">
        <v>45828</v>
      </c>
      <c r="B2349" s="66">
        <v>25112.400000000001</v>
      </c>
      <c r="C2349" s="66">
        <v>24787.65</v>
      </c>
      <c r="D2349" s="66">
        <v>25136.2</v>
      </c>
      <c r="E2349" s="66">
        <v>24783.65</v>
      </c>
      <c r="F2349" s="67" t="s">
        <v>404</v>
      </c>
      <c r="G2349" s="68">
        <v>1.29E-2</v>
      </c>
      <c r="H2349" s="64"/>
    </row>
    <row r="2350" spans="1:8" x14ac:dyDescent="0.25">
      <c r="A2350" s="65">
        <v>45831</v>
      </c>
      <c r="B2350" s="66">
        <v>24971.9</v>
      </c>
      <c r="C2350" s="66">
        <v>24939.75</v>
      </c>
      <c r="D2350" s="66">
        <v>25057</v>
      </c>
      <c r="E2350" s="66">
        <v>24824.85</v>
      </c>
      <c r="F2350" s="67" t="s">
        <v>403</v>
      </c>
      <c r="G2350" s="68">
        <v>-5.5999999999999999E-3</v>
      </c>
      <c r="H2350" s="64"/>
    </row>
    <row r="2351" spans="1:8" x14ac:dyDescent="0.25">
      <c r="A2351" s="65">
        <v>45832</v>
      </c>
      <c r="B2351" s="66">
        <v>25044.35</v>
      </c>
      <c r="C2351" s="66">
        <v>25179.9</v>
      </c>
      <c r="D2351" s="66">
        <v>25317.7</v>
      </c>
      <c r="E2351" s="66">
        <v>24999.7</v>
      </c>
      <c r="F2351" s="67" t="s">
        <v>402</v>
      </c>
      <c r="G2351" s="68">
        <v>2.8999999999999998E-3</v>
      </c>
      <c r="H2351" s="64"/>
    </row>
    <row r="2352" spans="1:8" x14ac:dyDescent="0.25">
      <c r="A2352" s="65">
        <v>45833</v>
      </c>
      <c r="B2352" s="66">
        <v>25244.75</v>
      </c>
      <c r="C2352" s="66">
        <v>25150.35</v>
      </c>
      <c r="D2352" s="66">
        <v>25266.799999999999</v>
      </c>
      <c r="E2352" s="66">
        <v>25125.05</v>
      </c>
      <c r="F2352" s="67" t="s">
        <v>401</v>
      </c>
      <c r="G2352" s="68">
        <v>8.0000000000000002E-3</v>
      </c>
      <c r="H2352" s="64"/>
    </row>
    <row r="2353" spans="1:8" x14ac:dyDescent="0.25">
      <c r="A2353" s="65">
        <v>45834</v>
      </c>
      <c r="B2353" s="66">
        <v>25549</v>
      </c>
      <c r="C2353" s="66">
        <v>25268.95</v>
      </c>
      <c r="D2353" s="66">
        <v>25565.3</v>
      </c>
      <c r="E2353" s="66">
        <v>25259.9</v>
      </c>
      <c r="F2353" s="67" t="s">
        <v>400</v>
      </c>
      <c r="G2353" s="68">
        <v>1.21E-2</v>
      </c>
      <c r="H2353" s="64"/>
    </row>
    <row r="2354" spans="1:8" x14ac:dyDescent="0.25">
      <c r="A2354" s="65">
        <v>45835</v>
      </c>
      <c r="B2354" s="66">
        <v>25637.8</v>
      </c>
      <c r="C2354" s="66">
        <v>25576.65</v>
      </c>
      <c r="D2354" s="66">
        <v>25654.2</v>
      </c>
      <c r="E2354" s="66">
        <v>25523.55</v>
      </c>
      <c r="F2354" s="67" t="s">
        <v>399</v>
      </c>
      <c r="G2354" s="68">
        <v>3.5000000000000001E-3</v>
      </c>
      <c r="H2354" s="64"/>
    </row>
    <row r="2355" spans="1:8" x14ac:dyDescent="0.25">
      <c r="A2355" s="65">
        <v>45838</v>
      </c>
      <c r="B2355" s="66">
        <v>25517.05</v>
      </c>
      <c r="C2355" s="66">
        <v>25661.65</v>
      </c>
      <c r="D2355" s="66">
        <v>25669.35</v>
      </c>
      <c r="E2355" s="66">
        <v>25473.3</v>
      </c>
      <c r="F2355" s="67" t="s">
        <v>398</v>
      </c>
      <c r="G2355" s="68">
        <v>-4.7000000000000002E-3</v>
      </c>
      <c r="H2355" s="64"/>
    </row>
    <row r="2356" spans="1:8" x14ac:dyDescent="0.25">
      <c r="A2356" s="65">
        <v>45839</v>
      </c>
      <c r="B2356" s="66">
        <v>25541.8</v>
      </c>
      <c r="C2356" s="66">
        <v>25551.35</v>
      </c>
      <c r="D2356" s="66">
        <v>25593.4</v>
      </c>
      <c r="E2356" s="66">
        <v>25501.8</v>
      </c>
      <c r="F2356" s="67" t="s">
        <v>397</v>
      </c>
      <c r="G2356" s="68">
        <v>1E-3</v>
      </c>
      <c r="H2356" s="64"/>
    </row>
    <row r="2357" spans="1:8" x14ac:dyDescent="0.25">
      <c r="A2357" s="65">
        <v>45840</v>
      </c>
      <c r="B2357" s="66">
        <v>25453.4</v>
      </c>
      <c r="C2357" s="66">
        <v>25588.3</v>
      </c>
      <c r="D2357" s="66">
        <v>25608.1</v>
      </c>
      <c r="E2357" s="66">
        <v>25378.75</v>
      </c>
      <c r="F2357" s="67" t="s">
        <v>396</v>
      </c>
      <c r="G2357" s="68">
        <v>-3.5000000000000001E-3</v>
      </c>
      <c r="H2357" s="64"/>
    </row>
    <row r="2358" spans="1:8" x14ac:dyDescent="0.25">
      <c r="A2358" s="65">
        <v>45841</v>
      </c>
      <c r="B2358" s="66">
        <v>25405.3</v>
      </c>
      <c r="C2358" s="66">
        <v>25505.1</v>
      </c>
      <c r="D2358" s="66">
        <v>25587.5</v>
      </c>
      <c r="E2358" s="66">
        <v>25384.35</v>
      </c>
      <c r="F2358" s="67" t="s">
        <v>395</v>
      </c>
      <c r="G2358" s="68">
        <v>-1.9E-3</v>
      </c>
      <c r="H2358" s="64"/>
    </row>
    <row r="2359" spans="1:8" x14ac:dyDescent="0.25">
      <c r="A2359" s="65">
        <v>45842</v>
      </c>
      <c r="B2359" s="66">
        <v>25461</v>
      </c>
      <c r="C2359" s="66">
        <v>25428.85</v>
      </c>
      <c r="D2359" s="66">
        <v>25470.25</v>
      </c>
      <c r="E2359" s="66">
        <v>25331.65</v>
      </c>
      <c r="F2359" s="67" t="s">
        <v>394</v>
      </c>
      <c r="G2359" s="68">
        <v>2.2000000000000001E-3</v>
      </c>
      <c r="H2359" s="64"/>
    </row>
    <row r="2360" spans="1:8" x14ac:dyDescent="0.25">
      <c r="A2360" s="65">
        <v>45845</v>
      </c>
      <c r="B2360" s="66">
        <v>25461.3</v>
      </c>
      <c r="C2360" s="66">
        <v>25450.45</v>
      </c>
      <c r="D2360" s="66">
        <v>25489.8</v>
      </c>
      <c r="E2360" s="66">
        <v>25407.25</v>
      </c>
      <c r="F2360" s="67" t="s">
        <v>393</v>
      </c>
      <c r="G2360" s="68">
        <v>0</v>
      </c>
      <c r="H2360" s="64"/>
    </row>
    <row r="2361" spans="1:8" x14ac:dyDescent="0.25">
      <c r="A2361" s="65">
        <v>45846</v>
      </c>
      <c r="B2361" s="66">
        <v>25522.5</v>
      </c>
      <c r="C2361" s="66">
        <v>25427.85</v>
      </c>
      <c r="D2361" s="66">
        <v>25548.05</v>
      </c>
      <c r="E2361" s="66">
        <v>25424.15</v>
      </c>
      <c r="F2361" s="67" t="s">
        <v>392</v>
      </c>
      <c r="G2361" s="68">
        <v>2.3999999999999998E-3</v>
      </c>
      <c r="H2361" s="64"/>
    </row>
    <row r="2362" spans="1:8" x14ac:dyDescent="0.25">
      <c r="A2362" s="65">
        <v>45847</v>
      </c>
      <c r="B2362" s="66">
        <v>25476.1</v>
      </c>
      <c r="C2362" s="66">
        <v>25514.6</v>
      </c>
      <c r="D2362" s="66">
        <v>25548.7</v>
      </c>
      <c r="E2362" s="66">
        <v>25424.35</v>
      </c>
      <c r="F2362" s="67" t="s">
        <v>391</v>
      </c>
      <c r="G2362" s="68">
        <v>-1.8E-3</v>
      </c>
      <c r="H2362" s="64"/>
    </row>
    <row r="2363" spans="1:8" x14ac:dyDescent="0.25">
      <c r="A2363" s="65">
        <v>45848</v>
      </c>
      <c r="B2363" s="66">
        <v>25355.25</v>
      </c>
      <c r="C2363" s="66">
        <v>25511.65</v>
      </c>
      <c r="D2363" s="66">
        <v>25524.05</v>
      </c>
      <c r="E2363" s="66">
        <v>25340.45</v>
      </c>
      <c r="F2363" s="67" t="s">
        <v>390</v>
      </c>
      <c r="G2363" s="68">
        <v>-4.7000000000000002E-3</v>
      </c>
      <c r="H2363" s="64"/>
    </row>
    <row r="2364" spans="1:8" x14ac:dyDescent="0.25">
      <c r="A2364" s="65">
        <v>45849</v>
      </c>
      <c r="B2364" s="66">
        <v>25149.85</v>
      </c>
      <c r="C2364" s="66">
        <v>25255.5</v>
      </c>
      <c r="D2364" s="66">
        <v>25322.45</v>
      </c>
      <c r="E2364" s="66">
        <v>25129</v>
      </c>
      <c r="F2364" s="67" t="s">
        <v>389</v>
      </c>
      <c r="G2364" s="68">
        <v>-8.0999999999999996E-3</v>
      </c>
      <c r="H2364" s="64"/>
    </row>
    <row r="2365" spans="1:8" x14ac:dyDescent="0.25">
      <c r="A2365" s="65">
        <v>45852</v>
      </c>
      <c r="B2365" s="66">
        <v>25082.3</v>
      </c>
      <c r="C2365" s="66">
        <v>25149.5</v>
      </c>
      <c r="D2365" s="66">
        <v>25151.1</v>
      </c>
      <c r="E2365" s="66">
        <v>25001.95</v>
      </c>
      <c r="F2365" s="67" t="s">
        <v>388</v>
      </c>
      <c r="G2365" s="68">
        <v>-2.7000000000000001E-3</v>
      </c>
      <c r="H2365" s="64"/>
    </row>
    <row r="2366" spans="1:8" x14ac:dyDescent="0.25">
      <c r="A2366" s="65">
        <v>45853</v>
      </c>
      <c r="B2366" s="66">
        <v>25195.8</v>
      </c>
      <c r="C2366" s="66">
        <v>25089.5</v>
      </c>
      <c r="D2366" s="66">
        <v>25245.200000000001</v>
      </c>
      <c r="E2366" s="66">
        <v>25088.45</v>
      </c>
      <c r="F2366" s="67" t="s">
        <v>387</v>
      </c>
      <c r="G2366" s="68">
        <v>4.4999999999999997E-3</v>
      </c>
      <c r="H2366" s="64"/>
    </row>
    <row r="2367" spans="1:8" x14ac:dyDescent="0.25">
      <c r="A2367" s="65">
        <v>45854</v>
      </c>
      <c r="B2367" s="66">
        <v>25212.05</v>
      </c>
      <c r="C2367" s="66">
        <v>25196.6</v>
      </c>
      <c r="D2367" s="66">
        <v>25255.3</v>
      </c>
      <c r="E2367" s="66">
        <v>25121.05</v>
      </c>
      <c r="F2367" s="67" t="s">
        <v>386</v>
      </c>
      <c r="G2367" s="68">
        <v>5.9999999999999995E-4</v>
      </c>
      <c r="H2367" s="64"/>
    </row>
    <row r="2368" spans="1:8" x14ac:dyDescent="0.25">
      <c r="A2368" s="65">
        <v>45855</v>
      </c>
      <c r="B2368" s="66">
        <v>25111.45</v>
      </c>
      <c r="C2368" s="66">
        <v>25230.75</v>
      </c>
      <c r="D2368" s="66">
        <v>25238.35</v>
      </c>
      <c r="E2368" s="66">
        <v>25101</v>
      </c>
      <c r="F2368" s="67" t="s">
        <v>385</v>
      </c>
      <c r="G2368" s="68">
        <v>-4.0000000000000001E-3</v>
      </c>
      <c r="H2368" s="64"/>
    </row>
    <row r="2369" spans="1:8" x14ac:dyDescent="0.25">
      <c r="A2369" s="65">
        <v>45856</v>
      </c>
      <c r="B2369" s="66">
        <v>24968.400000000001</v>
      </c>
      <c r="C2369" s="66">
        <v>25108.55</v>
      </c>
      <c r="D2369" s="66">
        <v>25144.6</v>
      </c>
      <c r="E2369" s="66">
        <v>24918.65</v>
      </c>
      <c r="F2369" s="67" t="s">
        <v>384</v>
      </c>
      <c r="G2369" s="68">
        <v>-5.7000000000000002E-3</v>
      </c>
      <c r="H2369" s="64"/>
    </row>
    <row r="2370" spans="1:8" x14ac:dyDescent="0.25">
      <c r="A2370" s="65">
        <v>45859</v>
      </c>
      <c r="B2370" s="66">
        <v>25090.7</v>
      </c>
      <c r="C2370" s="66">
        <v>24999</v>
      </c>
      <c r="D2370" s="66">
        <v>25111.4</v>
      </c>
      <c r="E2370" s="66">
        <v>24882.3</v>
      </c>
      <c r="F2370" s="67" t="s">
        <v>383</v>
      </c>
      <c r="G2370" s="68">
        <v>4.8999999999999998E-3</v>
      </c>
      <c r="H2370" s="64"/>
    </row>
    <row r="2371" spans="1:8" x14ac:dyDescent="0.25">
      <c r="A2371" s="65">
        <v>45860</v>
      </c>
      <c r="B2371" s="66">
        <v>25060.9</v>
      </c>
      <c r="C2371" s="66">
        <v>25166.65</v>
      </c>
      <c r="D2371" s="66">
        <v>25182</v>
      </c>
      <c r="E2371" s="66">
        <v>25035.55</v>
      </c>
      <c r="F2371" s="67" t="s">
        <v>382</v>
      </c>
      <c r="G2371" s="68">
        <v>-1.1999999999999999E-3</v>
      </c>
      <c r="H2371" s="64"/>
    </row>
    <row r="2372" spans="1:8" x14ac:dyDescent="0.25">
      <c r="A2372" s="65">
        <v>45861</v>
      </c>
      <c r="B2372" s="66">
        <v>25219.9</v>
      </c>
      <c r="C2372" s="66">
        <v>25139.35</v>
      </c>
      <c r="D2372" s="66">
        <v>25233.5</v>
      </c>
      <c r="E2372" s="66">
        <v>25085.5</v>
      </c>
      <c r="F2372" s="67" t="s">
        <v>381</v>
      </c>
      <c r="G2372" s="68">
        <v>6.3E-3</v>
      </c>
      <c r="H2372" s="64"/>
    </row>
    <row r="2373" spans="1:8" x14ac:dyDescent="0.25">
      <c r="A2373" s="65">
        <v>45862</v>
      </c>
      <c r="B2373" s="66">
        <v>25062.1</v>
      </c>
      <c r="C2373" s="66">
        <v>25243.3</v>
      </c>
      <c r="D2373" s="66">
        <v>25246.25</v>
      </c>
      <c r="E2373" s="66">
        <v>25018.7</v>
      </c>
      <c r="F2373" s="67" t="s">
        <v>380</v>
      </c>
      <c r="G2373" s="68">
        <v>-6.3E-3</v>
      </c>
      <c r="H2373" s="64"/>
    </row>
    <row r="2374" spans="1:8" x14ac:dyDescent="0.25">
      <c r="A2374" s="65">
        <v>45863</v>
      </c>
      <c r="B2374" s="66">
        <v>24837</v>
      </c>
      <c r="C2374" s="66">
        <v>25010.35</v>
      </c>
      <c r="D2374" s="66">
        <v>25010.35</v>
      </c>
      <c r="E2374" s="66">
        <v>24806.35</v>
      </c>
      <c r="F2374" s="67" t="s">
        <v>379</v>
      </c>
      <c r="G2374" s="68">
        <v>-8.9999999999999993E-3</v>
      </c>
      <c r="H2374" s="64"/>
    </row>
    <row r="2375" spans="1:8" x14ac:dyDescent="0.25">
      <c r="A2375" s="65">
        <v>45866</v>
      </c>
      <c r="B2375" s="66">
        <v>24680.9</v>
      </c>
      <c r="C2375" s="66">
        <v>24782.45</v>
      </c>
      <c r="D2375" s="66">
        <v>24889.200000000001</v>
      </c>
      <c r="E2375" s="66">
        <v>24646.6</v>
      </c>
      <c r="F2375" s="67" t="s">
        <v>378</v>
      </c>
      <c r="G2375" s="68">
        <v>-6.3E-3</v>
      </c>
      <c r="H2375" s="64"/>
    </row>
    <row r="2376" spans="1:8" x14ac:dyDescent="0.25">
      <c r="A2376" s="65">
        <v>45867</v>
      </c>
      <c r="B2376" s="66">
        <v>24821.1</v>
      </c>
      <c r="C2376" s="66">
        <v>24609.65</v>
      </c>
      <c r="D2376" s="66">
        <v>24847.15</v>
      </c>
      <c r="E2376" s="66">
        <v>24598.6</v>
      </c>
      <c r="F2376" s="67" t="s">
        <v>377</v>
      </c>
      <c r="G2376" s="68">
        <v>5.7000000000000002E-3</v>
      </c>
      <c r="H2376" s="64"/>
    </row>
    <row r="2377" spans="1:8" x14ac:dyDescent="0.25">
      <c r="A2377" s="65">
        <v>45868</v>
      </c>
      <c r="B2377" s="66">
        <v>24855.05</v>
      </c>
      <c r="C2377" s="66">
        <v>24890.400000000001</v>
      </c>
      <c r="D2377" s="66">
        <v>24902.3</v>
      </c>
      <c r="E2377" s="66">
        <v>24771.95</v>
      </c>
      <c r="F2377" s="67" t="s">
        <v>376</v>
      </c>
      <c r="G2377" s="68">
        <v>1.4E-3</v>
      </c>
      <c r="H2377" s="64"/>
    </row>
    <row r="2378" spans="1:8" x14ac:dyDescent="0.25">
      <c r="A2378" s="65">
        <v>45869</v>
      </c>
      <c r="B2378" s="66">
        <v>24768.35</v>
      </c>
      <c r="C2378" s="66">
        <v>24642.25</v>
      </c>
      <c r="D2378" s="66">
        <v>24956.5</v>
      </c>
      <c r="E2378" s="66">
        <v>24635</v>
      </c>
      <c r="F2378" s="67" t="s">
        <v>375</v>
      </c>
      <c r="G2378" s="68">
        <v>-3.5000000000000001E-3</v>
      </c>
      <c r="H2378" s="64"/>
    </row>
    <row r="2379" spans="1:8" x14ac:dyDescent="0.25">
      <c r="A2379" s="65">
        <v>45870</v>
      </c>
      <c r="B2379" s="66">
        <v>24565.35</v>
      </c>
      <c r="C2379" s="66">
        <v>24734.9</v>
      </c>
      <c r="D2379" s="66">
        <v>24784.15</v>
      </c>
      <c r="E2379" s="66">
        <v>24535.05</v>
      </c>
      <c r="F2379" s="67" t="s">
        <v>374</v>
      </c>
      <c r="G2379" s="68">
        <v>-8.2000000000000007E-3</v>
      </c>
      <c r="H2379" s="64"/>
    </row>
    <row r="2380" spans="1:8" x14ac:dyDescent="0.25">
      <c r="A2380" s="65">
        <v>45873</v>
      </c>
      <c r="B2380" s="66">
        <v>24722.75</v>
      </c>
      <c r="C2380" s="66">
        <v>24596.05</v>
      </c>
      <c r="D2380" s="66">
        <v>24736.25</v>
      </c>
      <c r="E2380" s="66">
        <v>24554</v>
      </c>
      <c r="F2380" s="67" t="s">
        <v>373</v>
      </c>
      <c r="G2380" s="68">
        <v>6.4000000000000003E-3</v>
      </c>
      <c r="H2380" s="64"/>
    </row>
    <row r="2381" spans="1:8" x14ac:dyDescent="0.25">
      <c r="A2381" s="65">
        <v>45874</v>
      </c>
      <c r="B2381" s="66">
        <v>24649.55</v>
      </c>
      <c r="C2381" s="66">
        <v>24720.25</v>
      </c>
      <c r="D2381" s="66">
        <v>24733.1</v>
      </c>
      <c r="E2381" s="66">
        <v>24590.3</v>
      </c>
      <c r="F2381" s="67" t="s">
        <v>372</v>
      </c>
      <c r="G2381" s="68">
        <v>-3.0000000000000001E-3</v>
      </c>
      <c r="H2381" s="64"/>
    </row>
    <row r="2382" spans="1:8" x14ac:dyDescent="0.25">
      <c r="A2382" s="65">
        <v>45875</v>
      </c>
      <c r="B2382" s="66">
        <v>24574.2</v>
      </c>
      <c r="C2382" s="66">
        <v>24641.35</v>
      </c>
      <c r="D2382" s="66">
        <v>24671.4</v>
      </c>
      <c r="E2382" s="66">
        <v>24539.200000000001</v>
      </c>
      <c r="F2382" s="67" t="s">
        <v>371</v>
      </c>
      <c r="G2382" s="68">
        <v>-3.0999999999999999E-3</v>
      </c>
      <c r="H2382" s="64"/>
    </row>
    <row r="2383" spans="1:8" x14ac:dyDescent="0.25">
      <c r="A2383" s="65">
        <v>45876</v>
      </c>
      <c r="B2383" s="66">
        <v>24596.15</v>
      </c>
      <c r="C2383" s="66">
        <v>24464.2</v>
      </c>
      <c r="D2383" s="66">
        <v>24634.2</v>
      </c>
      <c r="E2383" s="66">
        <v>24344.15</v>
      </c>
      <c r="F2383" s="67" t="s">
        <v>370</v>
      </c>
      <c r="G2383" s="68">
        <v>8.9999999999999998E-4</v>
      </c>
      <c r="H2383" s="64"/>
    </row>
    <row r="2384" spans="1:8" x14ac:dyDescent="0.25">
      <c r="A2384" s="65">
        <v>45877</v>
      </c>
      <c r="B2384" s="66">
        <v>24363.3</v>
      </c>
      <c r="C2384" s="66">
        <v>24544.25</v>
      </c>
      <c r="D2384" s="66">
        <v>24585.5</v>
      </c>
      <c r="E2384" s="66">
        <v>24337.5</v>
      </c>
      <c r="F2384" s="67" t="s">
        <v>369</v>
      </c>
      <c r="G2384" s="68">
        <v>-9.4999999999999998E-3</v>
      </c>
      <c r="H2384" s="64"/>
    </row>
    <row r="2385" spans="1:8" x14ac:dyDescent="0.25">
      <c r="A2385" s="65">
        <v>45880</v>
      </c>
      <c r="B2385" s="66">
        <v>24585.05</v>
      </c>
      <c r="C2385" s="66">
        <v>24371.5</v>
      </c>
      <c r="D2385" s="66">
        <v>24600.85</v>
      </c>
      <c r="E2385" s="66">
        <v>24347.45</v>
      </c>
      <c r="F2385" s="67" t="s">
        <v>368</v>
      </c>
      <c r="G2385" s="68">
        <v>9.1000000000000004E-3</v>
      </c>
      <c r="H2385" s="64"/>
    </row>
    <row r="2386" spans="1:8" x14ac:dyDescent="0.25">
      <c r="A2386" s="65">
        <v>45881</v>
      </c>
      <c r="B2386" s="66">
        <v>24487.4</v>
      </c>
      <c r="C2386" s="66">
        <v>24563.35</v>
      </c>
      <c r="D2386" s="66">
        <v>24702.6</v>
      </c>
      <c r="E2386" s="66">
        <v>24465.65</v>
      </c>
      <c r="F2386" s="67" t="s">
        <v>367</v>
      </c>
      <c r="G2386" s="68">
        <v>-4.0000000000000001E-3</v>
      </c>
      <c r="H2386" s="64"/>
    </row>
    <row r="2387" spans="1:8" x14ac:dyDescent="0.25">
      <c r="A2387" s="65">
        <v>45882</v>
      </c>
      <c r="B2387" s="66">
        <v>24619.35</v>
      </c>
      <c r="C2387" s="66">
        <v>24586.2</v>
      </c>
      <c r="D2387" s="66">
        <v>24664.55</v>
      </c>
      <c r="E2387" s="66">
        <v>24535.25</v>
      </c>
      <c r="F2387" s="67" t="s">
        <v>366</v>
      </c>
      <c r="G2387" s="68">
        <v>5.4000000000000003E-3</v>
      </c>
      <c r="H2387" s="64"/>
    </row>
    <row r="2388" spans="1:8" x14ac:dyDescent="0.25">
      <c r="A2388" s="65">
        <v>45883</v>
      </c>
      <c r="B2388" s="66">
        <v>24631.3</v>
      </c>
      <c r="C2388" s="66">
        <v>24607.25</v>
      </c>
      <c r="D2388" s="66">
        <v>24673.65</v>
      </c>
      <c r="E2388" s="66">
        <v>24596.9</v>
      </c>
      <c r="F2388" s="67" t="s">
        <v>365</v>
      </c>
      <c r="G2388" s="68">
        <v>5.0000000000000001E-4</v>
      </c>
      <c r="H2388" s="64"/>
    </row>
    <row r="2389" spans="1:8" x14ac:dyDescent="0.25">
      <c r="A2389" s="65">
        <v>45887</v>
      </c>
      <c r="B2389" s="66">
        <v>24876.95</v>
      </c>
      <c r="C2389" s="66">
        <v>24938.2</v>
      </c>
      <c r="D2389" s="66">
        <v>25022</v>
      </c>
      <c r="E2389" s="66">
        <v>24852.85</v>
      </c>
      <c r="F2389" s="67" t="s">
        <v>364</v>
      </c>
      <c r="G2389" s="68">
        <v>0.01</v>
      </c>
      <c r="H2389" s="64"/>
    </row>
    <row r="2390" spans="1:8" x14ac:dyDescent="0.25">
      <c r="A2390" s="65">
        <v>45888</v>
      </c>
      <c r="B2390" s="66">
        <v>24980.65</v>
      </c>
      <c r="C2390" s="66">
        <v>24891.35</v>
      </c>
      <c r="D2390" s="66">
        <v>25012.65</v>
      </c>
      <c r="E2390" s="66">
        <v>24873.95</v>
      </c>
      <c r="F2390" s="67" t="s">
        <v>363</v>
      </c>
      <c r="G2390" s="68">
        <v>4.1999999999999997E-3</v>
      </c>
      <c r="H2390" s="64"/>
    </row>
    <row r="2391" spans="1:8" x14ac:dyDescent="0.25">
      <c r="A2391" s="65">
        <v>45889</v>
      </c>
      <c r="B2391" s="66">
        <v>25050.55</v>
      </c>
      <c r="C2391" s="66">
        <v>24965.8</v>
      </c>
      <c r="D2391" s="66">
        <v>25088.7</v>
      </c>
      <c r="E2391" s="66">
        <v>24929.7</v>
      </c>
      <c r="F2391" s="67" t="s">
        <v>362</v>
      </c>
      <c r="G2391" s="68">
        <v>2.8E-3</v>
      </c>
      <c r="H2391" s="64"/>
    </row>
    <row r="2392" spans="1:8" x14ac:dyDescent="0.25">
      <c r="A2392" s="65">
        <v>45890</v>
      </c>
      <c r="B2392" s="66">
        <v>25083.75</v>
      </c>
      <c r="C2392" s="66">
        <v>25142</v>
      </c>
      <c r="D2392" s="66">
        <v>25153.65</v>
      </c>
      <c r="E2392" s="66">
        <v>25054.9</v>
      </c>
      <c r="F2392" s="67" t="s">
        <v>361</v>
      </c>
      <c r="G2392" s="68">
        <v>1.2999999999999999E-3</v>
      </c>
      <c r="H2392" s="64"/>
    </row>
    <row r="2393" spans="1:8" x14ac:dyDescent="0.25">
      <c r="A2393" s="65">
        <v>45891</v>
      </c>
      <c r="B2393" s="66">
        <v>24870.1</v>
      </c>
      <c r="C2393" s="66">
        <v>25064.15</v>
      </c>
      <c r="D2393" s="66">
        <v>25084.85</v>
      </c>
      <c r="E2393" s="66">
        <v>24859.15</v>
      </c>
      <c r="F2393" s="67" t="s">
        <v>360</v>
      </c>
      <c r="G2393" s="68">
        <v>-8.5000000000000006E-3</v>
      </c>
      <c r="H2393" s="64"/>
    </row>
    <row r="2394" spans="1:8" x14ac:dyDescent="0.25">
      <c r="A2394" s="65">
        <v>45894</v>
      </c>
      <c r="B2394" s="66">
        <v>24967.75</v>
      </c>
      <c r="C2394" s="66">
        <v>24949.15</v>
      </c>
      <c r="D2394" s="66">
        <v>25021.55</v>
      </c>
      <c r="E2394" s="66">
        <v>24894.35</v>
      </c>
      <c r="F2394" s="67" t="s">
        <v>359</v>
      </c>
      <c r="G2394" s="68">
        <v>3.8999999999999998E-3</v>
      </c>
      <c r="H2394" s="64"/>
    </row>
    <row r="2395" spans="1:8" x14ac:dyDescent="0.25">
      <c r="A2395" s="65">
        <v>45895</v>
      </c>
      <c r="B2395" s="66">
        <v>24712.05</v>
      </c>
      <c r="C2395" s="66">
        <v>24899.5</v>
      </c>
      <c r="D2395" s="66">
        <v>24919.65</v>
      </c>
      <c r="E2395" s="66">
        <v>24689.599999999999</v>
      </c>
      <c r="F2395" s="67" t="s">
        <v>358</v>
      </c>
      <c r="G2395" s="68">
        <v>-1.0200000000000001E-2</v>
      </c>
      <c r="H2395" s="64"/>
    </row>
    <row r="2396" spans="1:8" x14ac:dyDescent="0.25">
      <c r="A2396" s="65">
        <v>45897</v>
      </c>
      <c r="B2396" s="66">
        <v>24500.9</v>
      </c>
      <c r="C2396" s="66">
        <v>24695.8</v>
      </c>
      <c r="D2396" s="66">
        <v>24702.65</v>
      </c>
      <c r="E2396" s="66">
        <v>24481.599999999999</v>
      </c>
      <c r="F2396" s="67" t="s">
        <v>357</v>
      </c>
      <c r="G2396" s="68">
        <v>-8.5000000000000006E-3</v>
      </c>
      <c r="H2396" s="64"/>
    </row>
    <row r="2397" spans="1:8" x14ac:dyDescent="0.25">
      <c r="A2397" s="65">
        <v>45898</v>
      </c>
      <c r="B2397" s="66">
        <v>24426.85</v>
      </c>
      <c r="C2397" s="66">
        <v>24466.7</v>
      </c>
      <c r="D2397" s="66">
        <v>24572.45</v>
      </c>
      <c r="E2397" s="66">
        <v>24404.7</v>
      </c>
      <c r="F2397" s="67" t="s">
        <v>356</v>
      </c>
      <c r="G2397" s="68">
        <v>-3.0000000000000001E-3</v>
      </c>
      <c r="H2397" s="64"/>
    </row>
    <row r="2398" spans="1:8" x14ac:dyDescent="0.25">
      <c r="A2398" s="65">
        <v>45901</v>
      </c>
      <c r="B2398" s="66">
        <v>24625.05</v>
      </c>
      <c r="C2398" s="66">
        <v>24432.7</v>
      </c>
      <c r="D2398" s="66">
        <v>24635.599999999999</v>
      </c>
      <c r="E2398" s="66">
        <v>24432.7</v>
      </c>
      <c r="F2398" s="67" t="s">
        <v>355</v>
      </c>
      <c r="G2398" s="68">
        <v>8.0999999999999996E-3</v>
      </c>
      <c r="H2398" s="64"/>
    </row>
    <row r="2399" spans="1:8" x14ac:dyDescent="0.25">
      <c r="A2399" s="65">
        <v>45902</v>
      </c>
      <c r="B2399" s="66">
        <v>24579.599999999999</v>
      </c>
      <c r="C2399" s="66">
        <v>24653</v>
      </c>
      <c r="D2399" s="66">
        <v>24756.1</v>
      </c>
      <c r="E2399" s="66">
        <v>24522.35</v>
      </c>
      <c r="F2399" s="67" t="s">
        <v>354</v>
      </c>
      <c r="G2399" s="68">
        <v>-1.8E-3</v>
      </c>
      <c r="H2399" s="64"/>
    </row>
    <row r="2400" spans="1:8" x14ac:dyDescent="0.25">
      <c r="A2400" s="65">
        <v>45903</v>
      </c>
      <c r="B2400" s="66">
        <v>24715.05</v>
      </c>
      <c r="C2400" s="66">
        <v>24616.5</v>
      </c>
      <c r="D2400" s="66">
        <v>24737.05</v>
      </c>
      <c r="E2400" s="66">
        <v>24533.200000000001</v>
      </c>
      <c r="F2400" s="67" t="s">
        <v>353</v>
      </c>
      <c r="G2400" s="68">
        <v>5.4999999999999997E-3</v>
      </c>
      <c r="H2400" s="64"/>
    </row>
    <row r="2401" spans="1:8" x14ac:dyDescent="0.25">
      <c r="A2401" s="65">
        <v>45904</v>
      </c>
      <c r="B2401" s="66">
        <v>24734.3</v>
      </c>
      <c r="C2401" s="66">
        <v>24980.75</v>
      </c>
      <c r="D2401" s="66">
        <v>24980.75</v>
      </c>
      <c r="E2401" s="66">
        <v>24708.2</v>
      </c>
      <c r="F2401" s="67" t="s">
        <v>352</v>
      </c>
      <c r="G2401" s="68">
        <v>8.0000000000000004E-4</v>
      </c>
      <c r="H2401" s="64"/>
    </row>
    <row r="2402" spans="1:8" x14ac:dyDescent="0.25">
      <c r="A2402" s="65">
        <v>45905</v>
      </c>
      <c r="B2402" s="66">
        <v>24741</v>
      </c>
      <c r="C2402" s="66">
        <v>24818.85</v>
      </c>
      <c r="D2402" s="66">
        <v>24832.35</v>
      </c>
      <c r="E2402" s="66">
        <v>24621.599999999999</v>
      </c>
      <c r="F2402" s="67" t="s">
        <v>351</v>
      </c>
      <c r="G2402" s="68">
        <v>2.9999999999999997E-4</v>
      </c>
      <c r="H2402" s="64"/>
    </row>
    <row r="2403" spans="1:8" x14ac:dyDescent="0.25">
      <c r="A2403" s="65">
        <v>45908</v>
      </c>
      <c r="B2403" s="66">
        <v>24773.15</v>
      </c>
      <c r="C2403" s="66">
        <v>24802.6</v>
      </c>
      <c r="D2403" s="66">
        <v>24885.5</v>
      </c>
      <c r="E2403" s="66">
        <v>24751.55</v>
      </c>
      <c r="F2403" s="67" t="s">
        <v>350</v>
      </c>
      <c r="G2403" s="68">
        <v>1.2999999999999999E-3</v>
      </c>
      <c r="H2403" s="64"/>
    </row>
    <row r="2404" spans="1:8" x14ac:dyDescent="0.25">
      <c r="A2404" s="65">
        <v>45909</v>
      </c>
      <c r="B2404" s="66">
        <v>24868.6</v>
      </c>
      <c r="C2404" s="66">
        <v>24864.1</v>
      </c>
      <c r="D2404" s="66">
        <v>24891.8</v>
      </c>
      <c r="E2404" s="66">
        <v>24814</v>
      </c>
      <c r="F2404" s="67" t="s">
        <v>349</v>
      </c>
      <c r="G2404" s="68">
        <v>3.8999999999999998E-3</v>
      </c>
      <c r="H2404" s="64"/>
    </row>
    <row r="2405" spans="1:8" x14ac:dyDescent="0.25">
      <c r="A2405" s="65">
        <v>45910</v>
      </c>
      <c r="B2405" s="66">
        <v>24973.1</v>
      </c>
      <c r="C2405" s="66">
        <v>24991</v>
      </c>
      <c r="D2405" s="66">
        <v>25035.7</v>
      </c>
      <c r="E2405" s="66">
        <v>24915.05</v>
      </c>
      <c r="F2405" s="67" t="s">
        <v>348</v>
      </c>
      <c r="G2405" s="68">
        <v>4.1999999999999997E-3</v>
      </c>
      <c r="H2405" s="64"/>
    </row>
    <row r="2406" spans="1:8" x14ac:dyDescent="0.25">
      <c r="A2406" s="65">
        <v>45911</v>
      </c>
      <c r="B2406" s="66">
        <v>25005.5</v>
      </c>
      <c r="C2406" s="66">
        <v>24945.5</v>
      </c>
      <c r="D2406" s="66">
        <v>25037.3</v>
      </c>
      <c r="E2406" s="66">
        <v>24940.15</v>
      </c>
      <c r="F2406" s="67" t="s">
        <v>347</v>
      </c>
      <c r="G2406" s="68">
        <v>1.2999999999999999E-3</v>
      </c>
      <c r="H2406" s="64"/>
    </row>
    <row r="2407" spans="1:8" x14ac:dyDescent="0.25">
      <c r="A2407" s="65">
        <v>45912</v>
      </c>
      <c r="B2407" s="66">
        <v>25114</v>
      </c>
      <c r="C2407" s="66">
        <v>25074.45</v>
      </c>
      <c r="D2407" s="66">
        <v>25139.45</v>
      </c>
      <c r="E2407" s="66">
        <v>25038.05</v>
      </c>
      <c r="F2407" s="67" t="s">
        <v>346</v>
      </c>
      <c r="G2407" s="68">
        <v>4.3E-3</v>
      </c>
      <c r="H2407" s="64"/>
    </row>
    <row r="2408" spans="1:8" x14ac:dyDescent="0.25">
      <c r="A2408" s="65">
        <v>45915</v>
      </c>
      <c r="B2408" s="66">
        <v>25069.200000000001</v>
      </c>
      <c r="C2408" s="66">
        <v>25118.9</v>
      </c>
      <c r="D2408" s="66">
        <v>25138.45</v>
      </c>
      <c r="E2408" s="66">
        <v>25048.75</v>
      </c>
      <c r="F2408" s="67" t="s">
        <v>345</v>
      </c>
      <c r="G2408" s="68">
        <v>-1.8E-3</v>
      </c>
      <c r="H2408" s="64"/>
    </row>
    <row r="2409" spans="1:8" x14ac:dyDescent="0.25">
      <c r="A2409" s="65">
        <v>45916</v>
      </c>
      <c r="B2409" s="66">
        <v>25239.1</v>
      </c>
      <c r="C2409" s="66">
        <v>25073.599999999999</v>
      </c>
      <c r="D2409" s="66">
        <v>25261.4</v>
      </c>
      <c r="E2409" s="66">
        <v>25070.45</v>
      </c>
      <c r="F2409" s="67" t="s">
        <v>344</v>
      </c>
      <c r="G2409" s="68">
        <v>6.7999999999999996E-3</v>
      </c>
      <c r="H2409" s="64"/>
    </row>
    <row r="2410" spans="1:8" x14ac:dyDescent="0.25">
      <c r="A2410" s="65">
        <v>45917</v>
      </c>
      <c r="B2410" s="66">
        <v>25330.25</v>
      </c>
      <c r="C2410" s="66">
        <v>25276.6</v>
      </c>
      <c r="D2410" s="66">
        <v>25346.5</v>
      </c>
      <c r="E2410" s="66">
        <v>25275.35</v>
      </c>
      <c r="F2410" s="67" t="s">
        <v>343</v>
      </c>
      <c r="G2410" s="68">
        <v>3.5999999999999999E-3</v>
      </c>
      <c r="H2410" s="64"/>
    </row>
    <row r="2411" spans="1:8" x14ac:dyDescent="0.25">
      <c r="A2411" s="65">
        <v>45918</v>
      </c>
      <c r="B2411" s="66">
        <v>25423.599999999999</v>
      </c>
      <c r="C2411" s="66">
        <v>25441.05</v>
      </c>
      <c r="D2411" s="66">
        <v>25448.95</v>
      </c>
      <c r="E2411" s="66">
        <v>25329.75</v>
      </c>
      <c r="F2411" s="67" t="s">
        <v>342</v>
      </c>
      <c r="G2411" s="68">
        <v>3.7000000000000002E-3</v>
      </c>
      <c r="H2411" s="64"/>
    </row>
    <row r="2412" spans="1:8" x14ac:dyDescent="0.25">
      <c r="A2412" s="65">
        <v>45919</v>
      </c>
      <c r="B2412" s="66">
        <v>25327.05</v>
      </c>
      <c r="C2412" s="66">
        <v>25410.2</v>
      </c>
      <c r="D2412" s="66">
        <v>25428.75</v>
      </c>
      <c r="E2412" s="66">
        <v>25286.3</v>
      </c>
      <c r="F2412" s="67" t="s">
        <v>341</v>
      </c>
      <c r="G2412" s="68">
        <v>-3.8E-3</v>
      </c>
      <c r="H2412" s="64"/>
    </row>
    <row r="2413" spans="1:8" x14ac:dyDescent="0.25">
      <c r="A2413" s="65">
        <v>45922</v>
      </c>
      <c r="B2413" s="66">
        <v>25202.35</v>
      </c>
      <c r="C2413" s="66">
        <v>25238.1</v>
      </c>
      <c r="D2413" s="66">
        <v>25331.7</v>
      </c>
      <c r="E2413" s="66">
        <v>25151.05</v>
      </c>
      <c r="F2413" s="67" t="s">
        <v>340</v>
      </c>
      <c r="G2413" s="68">
        <v>-4.8999999999999998E-3</v>
      </c>
      <c r="H2413" s="64"/>
    </row>
    <row r="2414" spans="1:8" x14ac:dyDescent="0.25">
      <c r="A2414" s="65">
        <v>45923</v>
      </c>
      <c r="B2414" s="66">
        <v>25169.5</v>
      </c>
      <c r="C2414" s="66">
        <v>25209</v>
      </c>
      <c r="D2414" s="66">
        <v>25261.9</v>
      </c>
      <c r="E2414" s="66">
        <v>25084.65</v>
      </c>
      <c r="F2414" s="67" t="s">
        <v>339</v>
      </c>
      <c r="G2414" s="68">
        <v>-1.2999999999999999E-3</v>
      </c>
      <c r="H2414" s="64"/>
    </row>
    <row r="2415" spans="1:8" x14ac:dyDescent="0.25">
      <c r="A2415" s="65">
        <v>45924</v>
      </c>
      <c r="B2415" s="66">
        <v>25056.9</v>
      </c>
      <c r="C2415" s="66">
        <v>25108.75</v>
      </c>
      <c r="D2415" s="66">
        <v>25149.85</v>
      </c>
      <c r="E2415" s="66">
        <v>25027.45</v>
      </c>
      <c r="F2415" s="67" t="s">
        <v>338</v>
      </c>
      <c r="G2415" s="68">
        <v>-4.4999999999999997E-3</v>
      </c>
      <c r="H2415" s="64"/>
    </row>
    <row r="2416" spans="1:8" x14ac:dyDescent="0.25">
      <c r="A2416" s="65">
        <v>45925</v>
      </c>
      <c r="B2416" s="66">
        <v>24890.85</v>
      </c>
      <c r="C2416" s="66">
        <v>25034.5</v>
      </c>
      <c r="D2416" s="66">
        <v>25092.7</v>
      </c>
      <c r="E2416" s="66">
        <v>24878.3</v>
      </c>
      <c r="F2416" s="67" t="s">
        <v>337</v>
      </c>
      <c r="G2416" s="68">
        <v>-6.6E-3</v>
      </c>
      <c r="H2416" s="64"/>
    </row>
    <row r="2417" spans="1:8" x14ac:dyDescent="0.25">
      <c r="A2417" s="65">
        <v>45926</v>
      </c>
      <c r="B2417" s="66">
        <v>24654.7</v>
      </c>
      <c r="C2417" s="66">
        <v>24818.55</v>
      </c>
      <c r="D2417" s="66">
        <v>24868.6</v>
      </c>
      <c r="E2417" s="66">
        <v>24629.45</v>
      </c>
      <c r="F2417" s="67" t="s">
        <v>336</v>
      </c>
      <c r="G2417" s="68">
        <v>-9.4999999999999998E-3</v>
      </c>
      <c r="H2417" s="64"/>
    </row>
    <row r="2418" spans="1:8" x14ac:dyDescent="0.25">
      <c r="A2418" s="65">
        <v>45929</v>
      </c>
      <c r="B2418" s="66">
        <v>24634.9</v>
      </c>
      <c r="C2418" s="66">
        <v>24728.55</v>
      </c>
      <c r="D2418" s="66">
        <v>24791.3</v>
      </c>
      <c r="E2418" s="66">
        <v>24606.2</v>
      </c>
      <c r="F2418" s="67" t="s">
        <v>335</v>
      </c>
      <c r="G2418" s="68">
        <v>-8.0000000000000004E-4</v>
      </c>
      <c r="H2418" s="64"/>
    </row>
    <row r="2419" spans="1:8" x14ac:dyDescent="0.25">
      <c r="A2419" s="65">
        <v>45930</v>
      </c>
      <c r="B2419" s="66">
        <v>24611.1</v>
      </c>
      <c r="C2419" s="66">
        <v>24691.95</v>
      </c>
      <c r="D2419" s="66">
        <v>24731.8</v>
      </c>
      <c r="E2419" s="66">
        <v>24587.7</v>
      </c>
      <c r="F2419" s="67" t="s">
        <v>334</v>
      </c>
      <c r="G2419" s="68">
        <v>-1E-3</v>
      </c>
      <c r="H2419" s="64"/>
    </row>
    <row r="2420" spans="1:8" x14ac:dyDescent="0.25">
      <c r="A2420" s="65">
        <v>45931</v>
      </c>
      <c r="B2420" s="66">
        <v>24836.3</v>
      </c>
      <c r="C2420" s="66">
        <v>24620.55</v>
      </c>
      <c r="D2420" s="66">
        <v>24867.95</v>
      </c>
      <c r="E2420" s="66">
        <v>24605.95</v>
      </c>
      <c r="F2420" s="67" t="s">
        <v>333</v>
      </c>
      <c r="G2420" s="68">
        <v>9.1999999999999998E-3</v>
      </c>
      <c r="H2420" s="64"/>
    </row>
    <row r="2421" spans="1:8" x14ac:dyDescent="0.25">
      <c r="A2421" s="65">
        <v>45933</v>
      </c>
      <c r="B2421" s="66">
        <v>24894.25</v>
      </c>
      <c r="C2421" s="66">
        <v>24759.55</v>
      </c>
      <c r="D2421" s="66">
        <v>24904.799999999999</v>
      </c>
      <c r="E2421" s="66">
        <v>24747.55</v>
      </c>
      <c r="F2421" s="67" t="s">
        <v>332</v>
      </c>
      <c r="G2421" s="68">
        <v>2.3E-3</v>
      </c>
      <c r="H2421" s="64"/>
    </row>
    <row r="2422" spans="1:8" x14ac:dyDescent="0.25">
      <c r="A2422" s="65">
        <v>45936</v>
      </c>
      <c r="B2422" s="66">
        <v>25077.65</v>
      </c>
      <c r="C2422" s="66">
        <v>24916.55</v>
      </c>
      <c r="D2422" s="66">
        <v>25095.95</v>
      </c>
      <c r="E2422" s="66">
        <v>24881.65</v>
      </c>
      <c r="F2422" s="67" t="s">
        <v>331</v>
      </c>
      <c r="G2422" s="68">
        <v>7.4000000000000003E-3</v>
      </c>
      <c r="H2422" s="64"/>
    </row>
    <row r="2423" spans="1:8" x14ac:dyDescent="0.25">
      <c r="A2423" s="65">
        <v>45937</v>
      </c>
      <c r="B2423" s="66">
        <v>25108.3</v>
      </c>
      <c r="C2423" s="66">
        <v>25085.3</v>
      </c>
      <c r="D2423" s="66">
        <v>25220.9</v>
      </c>
      <c r="E2423" s="66">
        <v>25076.3</v>
      </c>
      <c r="F2423" s="67" t="s">
        <v>330</v>
      </c>
      <c r="G2423" s="68">
        <v>1.1999999999999999E-3</v>
      </c>
      <c r="H2423" s="64"/>
    </row>
    <row r="2424" spans="1:8" x14ac:dyDescent="0.25">
      <c r="A2424" s="65">
        <v>45938</v>
      </c>
      <c r="B2424" s="66">
        <v>25046.15</v>
      </c>
      <c r="C2424" s="66">
        <v>25079.75</v>
      </c>
      <c r="D2424" s="66">
        <v>25192.5</v>
      </c>
      <c r="E2424" s="66">
        <v>25008.5</v>
      </c>
      <c r="F2424" s="67" t="s">
        <v>329</v>
      </c>
      <c r="G2424" s="68">
        <v>-2.5000000000000001E-3</v>
      </c>
      <c r="H2424" s="64"/>
    </row>
    <row r="2425" spans="1:8" x14ac:dyDescent="0.25">
      <c r="A2425" s="65">
        <v>45939</v>
      </c>
      <c r="B2425" s="66">
        <v>25181.8</v>
      </c>
      <c r="C2425" s="66">
        <v>25074.3</v>
      </c>
      <c r="D2425" s="66">
        <v>25199.25</v>
      </c>
      <c r="E2425" s="66">
        <v>25024.3</v>
      </c>
      <c r="F2425" s="67" t="s">
        <v>328</v>
      </c>
      <c r="G2425" s="68">
        <v>5.4000000000000003E-3</v>
      </c>
      <c r="H2425" s="64"/>
    </row>
    <row r="2426" spans="1:8" x14ac:dyDescent="0.25">
      <c r="A2426" s="65">
        <v>45940</v>
      </c>
      <c r="B2426" s="66">
        <v>25285.35</v>
      </c>
      <c r="C2426" s="66">
        <v>25167.65</v>
      </c>
      <c r="D2426" s="66">
        <v>25330.75</v>
      </c>
      <c r="E2426" s="66">
        <v>25156.85</v>
      </c>
      <c r="F2426" s="67" t="s">
        <v>327</v>
      </c>
      <c r="G2426" s="68">
        <v>4.1000000000000003E-3</v>
      </c>
      <c r="H2426" s="64"/>
    </row>
    <row r="2427" spans="1:8" x14ac:dyDescent="0.25">
      <c r="A2427" s="65">
        <v>45943</v>
      </c>
      <c r="B2427" s="66">
        <v>25227.35</v>
      </c>
      <c r="C2427" s="66">
        <v>25177.3</v>
      </c>
      <c r="D2427" s="66">
        <v>25267.3</v>
      </c>
      <c r="E2427" s="66">
        <v>25152.3</v>
      </c>
      <c r="F2427" s="67" t="s">
        <v>326</v>
      </c>
      <c r="G2427" s="68">
        <v>-2.3E-3</v>
      </c>
      <c r="H2427" s="64"/>
    </row>
    <row r="2428" spans="1:8" x14ac:dyDescent="0.25">
      <c r="A2428" s="65">
        <v>45944</v>
      </c>
      <c r="B2428" s="66">
        <v>25145.5</v>
      </c>
      <c r="C2428" s="66">
        <v>25277.55</v>
      </c>
      <c r="D2428" s="66">
        <v>25310.35</v>
      </c>
      <c r="E2428" s="66">
        <v>25060.55</v>
      </c>
      <c r="F2428" s="67" t="s">
        <v>325</v>
      </c>
      <c r="G2428" s="68">
        <v>-3.2000000000000002E-3</v>
      </c>
      <c r="H2428" s="64"/>
    </row>
    <row r="2429" spans="1:8" x14ac:dyDescent="0.25">
      <c r="A2429" s="65">
        <v>45945</v>
      </c>
      <c r="B2429" s="66">
        <v>25323.55</v>
      </c>
      <c r="C2429" s="66">
        <v>25181.95</v>
      </c>
      <c r="D2429" s="66">
        <v>25365.15</v>
      </c>
      <c r="E2429" s="66">
        <v>25159.35</v>
      </c>
      <c r="F2429" s="67" t="s">
        <v>324</v>
      </c>
      <c r="G2429" s="68">
        <v>7.1000000000000004E-3</v>
      </c>
      <c r="H2429" s="64"/>
    </row>
    <row r="2430" spans="1:8" x14ac:dyDescent="0.25">
      <c r="A2430" s="65">
        <v>45946</v>
      </c>
      <c r="B2430" s="66">
        <v>25585.3</v>
      </c>
      <c r="C2430" s="66">
        <v>25394.9</v>
      </c>
      <c r="D2430" s="66">
        <v>25625.4</v>
      </c>
      <c r="E2430" s="66">
        <v>25376.85</v>
      </c>
      <c r="F2430" s="67" t="s">
        <v>323</v>
      </c>
      <c r="G2430" s="68">
        <v>1.03E-2</v>
      </c>
      <c r="H2430" s="64"/>
    </row>
    <row r="2431" spans="1:8" x14ac:dyDescent="0.25">
      <c r="A2431" s="65">
        <v>45947</v>
      </c>
      <c r="B2431" s="66">
        <v>25709.85</v>
      </c>
      <c r="C2431" s="66">
        <v>25546.85</v>
      </c>
      <c r="D2431" s="66">
        <v>25781.5</v>
      </c>
      <c r="E2431" s="66">
        <v>25508.6</v>
      </c>
      <c r="F2431" s="67" t="s">
        <v>322</v>
      </c>
      <c r="G2431" s="68">
        <v>4.8999999999999998E-3</v>
      </c>
      <c r="H2431" s="64"/>
    </row>
    <row r="2432" spans="1:8" x14ac:dyDescent="0.25">
      <c r="A2432" s="65">
        <v>45950</v>
      </c>
      <c r="B2432" s="66">
        <v>25843.15</v>
      </c>
      <c r="C2432" s="66">
        <v>25824.6</v>
      </c>
      <c r="D2432" s="66">
        <v>25926.2</v>
      </c>
      <c r="E2432" s="66">
        <v>25788.5</v>
      </c>
      <c r="F2432" s="67" t="s">
        <v>321</v>
      </c>
      <c r="G2432" s="68">
        <v>5.1999999999999998E-3</v>
      </c>
      <c r="H2432" s="64"/>
    </row>
    <row r="2433" spans="1:8" x14ac:dyDescent="0.25">
      <c r="A2433" s="65">
        <v>45951</v>
      </c>
      <c r="B2433" s="66">
        <v>25868.6</v>
      </c>
      <c r="C2433" s="66">
        <v>25901.200000000001</v>
      </c>
      <c r="D2433" s="66">
        <v>25934.35</v>
      </c>
      <c r="E2433" s="66">
        <v>25825.8</v>
      </c>
      <c r="F2433" s="67" t="s">
        <v>320</v>
      </c>
      <c r="G2433" s="68">
        <v>1E-3</v>
      </c>
      <c r="H2433" s="64"/>
    </row>
    <row r="2434" spans="1:8" x14ac:dyDescent="0.25">
      <c r="A2434" s="65">
        <v>45953</v>
      </c>
      <c r="B2434" s="66">
        <v>25891.4</v>
      </c>
      <c r="C2434" s="66">
        <v>26057.200000000001</v>
      </c>
      <c r="D2434" s="66">
        <v>26104.2</v>
      </c>
      <c r="E2434" s="66">
        <v>25862.45</v>
      </c>
      <c r="F2434" s="67" t="s">
        <v>319</v>
      </c>
      <c r="G2434" s="68">
        <v>8.9999999999999998E-4</v>
      </c>
      <c r="H2434" s="64"/>
    </row>
    <row r="2435" spans="1:8" x14ac:dyDescent="0.25">
      <c r="A2435" s="65">
        <v>45954</v>
      </c>
      <c r="B2435" s="66">
        <v>25795.15</v>
      </c>
      <c r="C2435" s="66">
        <v>25935.1</v>
      </c>
      <c r="D2435" s="66">
        <v>25944.15</v>
      </c>
      <c r="E2435" s="66">
        <v>25718.2</v>
      </c>
      <c r="F2435" s="67" t="s">
        <v>318</v>
      </c>
      <c r="G2435" s="68">
        <v>-3.7000000000000002E-3</v>
      </c>
      <c r="H2435" s="64"/>
    </row>
    <row r="2436" spans="1:8" x14ac:dyDescent="0.25">
      <c r="A2436" s="65">
        <v>45957</v>
      </c>
      <c r="B2436" s="66">
        <v>25966.05</v>
      </c>
      <c r="C2436" s="66">
        <v>25843.200000000001</v>
      </c>
      <c r="D2436" s="66">
        <v>26005.95</v>
      </c>
      <c r="E2436" s="66">
        <v>25827</v>
      </c>
      <c r="F2436" s="67" t="s">
        <v>317</v>
      </c>
      <c r="G2436" s="68">
        <v>6.6E-3</v>
      </c>
      <c r="H2436" s="64"/>
    </row>
    <row r="2437" spans="1:8" x14ac:dyDescent="0.25">
      <c r="A2437" s="65">
        <v>45958</v>
      </c>
      <c r="B2437" s="66">
        <v>25936.2</v>
      </c>
      <c r="C2437" s="66">
        <v>25939.95</v>
      </c>
      <c r="D2437" s="66">
        <v>26041.7</v>
      </c>
      <c r="E2437" s="66">
        <v>25810.05</v>
      </c>
      <c r="F2437" s="67" t="s">
        <v>316</v>
      </c>
      <c r="G2437" s="68">
        <v>-1.1000000000000001E-3</v>
      </c>
      <c r="H2437" s="64"/>
    </row>
    <row r="2438" spans="1:8" x14ac:dyDescent="0.25">
      <c r="A2438" s="65">
        <v>45959</v>
      </c>
      <c r="B2438" s="66">
        <v>26053.9</v>
      </c>
      <c r="C2438" s="66">
        <v>25982</v>
      </c>
      <c r="D2438" s="66">
        <v>26097.85</v>
      </c>
      <c r="E2438" s="66">
        <v>25960.3</v>
      </c>
      <c r="F2438" s="67" t="s">
        <v>315</v>
      </c>
      <c r="G2438" s="68">
        <v>4.4999999999999997E-3</v>
      </c>
      <c r="H2438" s="64"/>
    </row>
    <row r="2439" spans="1:8" x14ac:dyDescent="0.25">
      <c r="A2439" s="65">
        <v>45960</v>
      </c>
      <c r="B2439" s="66">
        <v>25877.85</v>
      </c>
      <c r="C2439" s="66">
        <v>25984.400000000001</v>
      </c>
      <c r="D2439" s="66">
        <v>26032.05</v>
      </c>
      <c r="E2439" s="66">
        <v>25845.25</v>
      </c>
      <c r="F2439" s="67" t="s">
        <v>314</v>
      </c>
      <c r="G2439" s="68">
        <v>-6.7999999999999996E-3</v>
      </c>
      <c r="H2439" s="64"/>
    </row>
    <row r="2440" spans="1:8" x14ac:dyDescent="0.25">
      <c r="A2440" s="65">
        <v>45961</v>
      </c>
      <c r="B2440" s="66">
        <v>25722.1</v>
      </c>
      <c r="C2440" s="66">
        <v>25863.8</v>
      </c>
      <c r="D2440" s="66">
        <v>25953.75</v>
      </c>
      <c r="E2440" s="66">
        <v>25711.200000000001</v>
      </c>
      <c r="F2440" s="67" t="s">
        <v>313</v>
      </c>
      <c r="G2440" s="68">
        <v>-6.0000000000000001E-3</v>
      </c>
      <c r="H2440" s="64"/>
    </row>
    <row r="2441" spans="1:8" x14ac:dyDescent="0.25">
      <c r="A2441" s="65">
        <v>45964</v>
      </c>
      <c r="B2441" s="66">
        <v>25763.35</v>
      </c>
      <c r="C2441" s="66">
        <v>25696.85</v>
      </c>
      <c r="D2441" s="66">
        <v>25803.1</v>
      </c>
      <c r="E2441" s="66">
        <v>25645.5</v>
      </c>
      <c r="F2441" s="67" t="s">
        <v>312</v>
      </c>
      <c r="G2441" s="68">
        <v>1.6000000000000001E-3</v>
      </c>
      <c r="H2441" s="64"/>
    </row>
    <row r="2442" spans="1:8" x14ac:dyDescent="0.25">
      <c r="A2442" s="65">
        <v>45965</v>
      </c>
      <c r="B2442" s="66">
        <v>25597.65</v>
      </c>
      <c r="C2442" s="66">
        <v>25744.75</v>
      </c>
      <c r="D2442" s="66">
        <v>25787.4</v>
      </c>
      <c r="E2442" s="66">
        <v>25578.400000000001</v>
      </c>
      <c r="F2442" s="67" t="s">
        <v>311</v>
      </c>
      <c r="G2442" s="68">
        <v>-6.4000000000000003E-3</v>
      </c>
      <c r="H2442" s="64"/>
    </row>
    <row r="2443" spans="1:8" x14ac:dyDescent="0.25">
      <c r="A2443" s="65">
        <v>45967</v>
      </c>
      <c r="B2443" s="66">
        <v>25509.7</v>
      </c>
      <c r="C2443" s="66">
        <v>25593.35</v>
      </c>
      <c r="D2443" s="66">
        <v>25679.15</v>
      </c>
      <c r="E2443" s="66">
        <v>25491.55</v>
      </c>
      <c r="F2443" s="67" t="s">
        <v>310</v>
      </c>
      <c r="G2443" s="68">
        <v>-3.3999999999999998E-3</v>
      </c>
      <c r="H2443" s="64"/>
    </row>
    <row r="2444" spans="1:8" x14ac:dyDescent="0.25">
      <c r="A2444" s="65">
        <v>45968</v>
      </c>
      <c r="B2444" s="66">
        <v>25492.3</v>
      </c>
      <c r="C2444" s="66">
        <v>25433.8</v>
      </c>
      <c r="D2444" s="66">
        <v>25551.25</v>
      </c>
      <c r="E2444" s="66">
        <v>25318.45</v>
      </c>
      <c r="F2444" s="67" t="s">
        <v>309</v>
      </c>
      <c r="G2444" s="68">
        <v>-6.9999999999999999E-4</v>
      </c>
      <c r="H2444" s="64"/>
    </row>
    <row r="2445" spans="1:8" x14ac:dyDescent="0.25">
      <c r="A2445" s="65">
        <v>45971</v>
      </c>
      <c r="B2445" s="66">
        <v>25574.35</v>
      </c>
      <c r="C2445" s="66">
        <v>25503.5</v>
      </c>
      <c r="D2445" s="66">
        <v>25653.45</v>
      </c>
      <c r="E2445" s="66">
        <v>25503.5</v>
      </c>
      <c r="F2445" s="67" t="s">
        <v>308</v>
      </c>
      <c r="G2445" s="68">
        <v>3.2000000000000002E-3</v>
      </c>
      <c r="H2445" s="64"/>
    </row>
    <row r="2446" spans="1:8" x14ac:dyDescent="0.25">
      <c r="A2446" s="65">
        <v>45972</v>
      </c>
      <c r="B2446" s="66">
        <v>25694.95</v>
      </c>
      <c r="C2446" s="66">
        <v>25617</v>
      </c>
      <c r="D2446" s="66">
        <v>25715.8</v>
      </c>
      <c r="E2446" s="66">
        <v>25449.25</v>
      </c>
      <c r="F2446" s="67" t="s">
        <v>307</v>
      </c>
      <c r="G2446" s="68">
        <v>4.7000000000000002E-3</v>
      </c>
      <c r="H2446" s="64"/>
    </row>
    <row r="2447" spans="1:8" x14ac:dyDescent="0.25">
      <c r="A2447" s="65">
        <v>45973</v>
      </c>
      <c r="B2447" s="66">
        <v>25875.8</v>
      </c>
      <c r="C2447" s="66">
        <v>25834.3</v>
      </c>
      <c r="D2447" s="66">
        <v>25934.55</v>
      </c>
      <c r="E2447" s="66">
        <v>25781.15</v>
      </c>
      <c r="F2447" s="67" t="s">
        <v>306</v>
      </c>
      <c r="G2447" s="68">
        <v>7.0000000000000001E-3</v>
      </c>
      <c r="H2447" s="64"/>
    </row>
    <row r="2448" spans="1:8" x14ac:dyDescent="0.25">
      <c r="A2448" s="65">
        <v>45974</v>
      </c>
      <c r="B2448" s="66">
        <v>25879.15</v>
      </c>
      <c r="C2448" s="66">
        <v>25906.1</v>
      </c>
      <c r="D2448" s="66">
        <v>26010.7</v>
      </c>
      <c r="E2448" s="66">
        <v>25808.400000000001</v>
      </c>
      <c r="F2448" s="67" t="s">
        <v>305</v>
      </c>
      <c r="G2448" s="68">
        <v>1E-4</v>
      </c>
      <c r="H2448" s="64"/>
    </row>
    <row r="2449" spans="1:8" x14ac:dyDescent="0.25">
      <c r="A2449" s="65">
        <v>45975</v>
      </c>
      <c r="B2449" s="66">
        <v>25910.05</v>
      </c>
      <c r="C2449" s="66">
        <v>25767.9</v>
      </c>
      <c r="D2449" s="66">
        <v>25940.2</v>
      </c>
      <c r="E2449" s="66">
        <v>25740.799999999999</v>
      </c>
      <c r="F2449" s="67" t="s">
        <v>304</v>
      </c>
      <c r="G2449" s="68">
        <v>1.1999999999999999E-3</v>
      </c>
      <c r="H2449" s="64"/>
    </row>
    <row r="2450" spans="1:8" x14ac:dyDescent="0.25">
      <c r="A2450" s="65">
        <v>45978</v>
      </c>
      <c r="B2450" s="66">
        <v>26013.45</v>
      </c>
      <c r="C2450" s="66">
        <v>25948.2</v>
      </c>
      <c r="D2450" s="66">
        <v>26024.2</v>
      </c>
      <c r="E2450" s="66">
        <v>25906.35</v>
      </c>
      <c r="F2450" s="67" t="s">
        <v>303</v>
      </c>
      <c r="G2450" s="68">
        <v>4.0000000000000001E-3</v>
      </c>
      <c r="H2450" s="64"/>
    </row>
    <row r="2451" spans="1:8" x14ac:dyDescent="0.25">
      <c r="A2451" s="65">
        <v>45979</v>
      </c>
      <c r="B2451" s="66">
        <v>25910.05</v>
      </c>
      <c r="C2451" s="66">
        <v>26021.8</v>
      </c>
      <c r="D2451" s="66">
        <v>26029.85</v>
      </c>
      <c r="E2451" s="66">
        <v>25876.5</v>
      </c>
      <c r="F2451" s="67" t="s">
        <v>302</v>
      </c>
      <c r="G2451" s="68">
        <v>-4.0000000000000001E-3</v>
      </c>
      <c r="H2451" s="64"/>
    </row>
    <row r="2452" spans="1:8" x14ac:dyDescent="0.25">
      <c r="A2452" s="65">
        <v>45980</v>
      </c>
      <c r="B2452" s="66">
        <v>26052.65</v>
      </c>
      <c r="C2452" s="66">
        <v>25918.1</v>
      </c>
      <c r="D2452" s="66">
        <v>26074.65</v>
      </c>
      <c r="E2452" s="66">
        <v>25856.2</v>
      </c>
      <c r="F2452" s="67" t="s">
        <v>301</v>
      </c>
      <c r="G2452" s="68">
        <v>5.4999999999999997E-3</v>
      </c>
      <c r="H2452" s="64"/>
    </row>
    <row r="2453" spans="1:8" x14ac:dyDescent="0.25">
      <c r="A2453" s="65">
        <v>45981</v>
      </c>
      <c r="B2453" s="66">
        <v>26192.15</v>
      </c>
      <c r="C2453" s="66">
        <v>26132.1</v>
      </c>
      <c r="D2453" s="66">
        <v>26246.65</v>
      </c>
      <c r="E2453" s="66">
        <v>26063.200000000001</v>
      </c>
      <c r="F2453" s="67" t="s">
        <v>300</v>
      </c>
      <c r="G2453" s="68">
        <v>5.4000000000000003E-3</v>
      </c>
      <c r="H2453" s="64"/>
    </row>
    <row r="2454" spans="1:8" x14ac:dyDescent="0.25">
      <c r="A2454" s="65">
        <v>45982</v>
      </c>
      <c r="B2454" s="66">
        <v>26068.15</v>
      </c>
      <c r="C2454" s="66">
        <v>26109.55</v>
      </c>
      <c r="D2454" s="66">
        <v>26179.200000000001</v>
      </c>
      <c r="E2454" s="66">
        <v>26052.2</v>
      </c>
      <c r="F2454" s="67" t="s">
        <v>299</v>
      </c>
      <c r="G2454" s="68">
        <v>-4.7000000000000002E-3</v>
      </c>
      <c r="H2454" s="64"/>
    </row>
    <row r="2455" spans="1:8" x14ac:dyDescent="0.25">
      <c r="A2455" s="65">
        <v>45985</v>
      </c>
      <c r="B2455" s="66">
        <v>25959.5</v>
      </c>
      <c r="C2455" s="66">
        <v>26122.799999999999</v>
      </c>
      <c r="D2455" s="66">
        <v>26142.799999999999</v>
      </c>
      <c r="E2455" s="66">
        <v>25912.15</v>
      </c>
      <c r="F2455" s="67" t="s">
        <v>298</v>
      </c>
      <c r="G2455" s="68">
        <v>-4.1999999999999997E-3</v>
      </c>
      <c r="H2455" s="64"/>
    </row>
    <row r="2456" spans="1:8" x14ac:dyDescent="0.25">
      <c r="A2456" s="65">
        <v>45986</v>
      </c>
      <c r="B2456" s="66">
        <v>25884.799999999999</v>
      </c>
      <c r="C2456" s="66">
        <v>25998.5</v>
      </c>
      <c r="D2456" s="66">
        <v>26032.6</v>
      </c>
      <c r="E2456" s="66">
        <v>25857.5</v>
      </c>
      <c r="F2456" s="67" t="s">
        <v>297</v>
      </c>
      <c r="G2456" s="68">
        <v>-2.8999999999999998E-3</v>
      </c>
      <c r="H2456" s="64"/>
    </row>
    <row r="2457" spans="1:8" x14ac:dyDescent="0.25">
      <c r="A2457" s="65">
        <v>45987</v>
      </c>
      <c r="B2457" s="66">
        <v>26205.3</v>
      </c>
      <c r="C2457" s="66">
        <v>25842.95</v>
      </c>
      <c r="D2457" s="66">
        <v>26215.15</v>
      </c>
      <c r="E2457" s="66">
        <v>25842.95</v>
      </c>
      <c r="F2457" s="67" t="s">
        <v>296</v>
      </c>
      <c r="G2457" s="68">
        <v>1.24E-2</v>
      </c>
      <c r="H2457" s="64"/>
    </row>
    <row r="2458" spans="1:8" x14ac:dyDescent="0.25">
      <c r="A2458" s="65">
        <v>45988</v>
      </c>
      <c r="B2458" s="66">
        <v>26215.55</v>
      </c>
      <c r="C2458" s="66">
        <v>26261.25</v>
      </c>
      <c r="D2458" s="66">
        <v>26310.45</v>
      </c>
      <c r="E2458" s="66">
        <v>26141.9</v>
      </c>
      <c r="F2458" s="67" t="s">
        <v>295</v>
      </c>
      <c r="G2458" s="68">
        <v>4.0000000000000002E-4</v>
      </c>
      <c r="H2458" s="64"/>
    </row>
    <row r="2459" spans="1:8" x14ac:dyDescent="0.25">
      <c r="A2459" s="65">
        <v>45989</v>
      </c>
      <c r="B2459" s="66">
        <v>26202.95</v>
      </c>
      <c r="C2459" s="66">
        <v>26237.45</v>
      </c>
      <c r="D2459" s="66">
        <v>26280.75</v>
      </c>
      <c r="E2459" s="66">
        <v>26172.400000000001</v>
      </c>
      <c r="F2459" s="67" t="s">
        <v>294</v>
      </c>
      <c r="G2459" s="68">
        <v>-5.0000000000000001E-4</v>
      </c>
      <c r="H2459" s="64"/>
    </row>
    <row r="2460" spans="1:8" x14ac:dyDescent="0.25">
      <c r="A2460" s="65">
        <v>45992</v>
      </c>
      <c r="B2460" s="66">
        <v>26175.75</v>
      </c>
      <c r="C2460" s="66">
        <v>26325.8</v>
      </c>
      <c r="D2460" s="66">
        <v>26325.8</v>
      </c>
      <c r="E2460" s="66">
        <v>26124.2</v>
      </c>
      <c r="F2460" s="67" t="s">
        <v>293</v>
      </c>
      <c r="G2460" s="68">
        <v>-1E-3</v>
      </c>
      <c r="H2460" s="64"/>
    </row>
    <row r="2461" spans="1:8" x14ac:dyDescent="0.25">
      <c r="A2461" s="65">
        <v>45993</v>
      </c>
      <c r="B2461" s="66">
        <v>26032.2</v>
      </c>
      <c r="C2461" s="66">
        <v>26087.95</v>
      </c>
      <c r="D2461" s="66">
        <v>26154.6</v>
      </c>
      <c r="E2461" s="66">
        <v>25997.85</v>
      </c>
      <c r="F2461" s="67" t="s">
        <v>292</v>
      </c>
      <c r="G2461" s="68">
        <v>-5.4999999999999997E-3</v>
      </c>
      <c r="H2461" s="64"/>
    </row>
    <row r="2462" spans="1:8" x14ac:dyDescent="0.25">
      <c r="A2462" s="65">
        <v>45994</v>
      </c>
      <c r="B2462" s="66">
        <v>25986</v>
      </c>
      <c r="C2462" s="66">
        <v>26004.9</v>
      </c>
      <c r="D2462" s="66">
        <v>26066.45</v>
      </c>
      <c r="E2462" s="66">
        <v>25891</v>
      </c>
      <c r="F2462" s="67" t="s">
        <v>291</v>
      </c>
      <c r="G2462" s="68">
        <v>-1.8E-3</v>
      </c>
      <c r="H2462" s="64"/>
    </row>
    <row r="2463" spans="1:8" x14ac:dyDescent="0.25">
      <c r="A2463" s="65">
        <v>45995</v>
      </c>
      <c r="B2463" s="66">
        <v>26033.75</v>
      </c>
      <c r="C2463" s="66">
        <v>25981.85</v>
      </c>
      <c r="D2463" s="66">
        <v>26098.25</v>
      </c>
      <c r="E2463" s="66">
        <v>25938.95</v>
      </c>
      <c r="F2463" s="67" t="s">
        <v>290</v>
      </c>
      <c r="G2463" s="68">
        <v>1.8E-3</v>
      </c>
      <c r="H2463" s="64"/>
    </row>
    <row r="2464" spans="1:8" x14ac:dyDescent="0.25">
      <c r="A2464" s="65">
        <v>45996</v>
      </c>
      <c r="B2464" s="66">
        <v>26186.45</v>
      </c>
      <c r="C2464" s="66">
        <v>25999.8</v>
      </c>
      <c r="D2464" s="66">
        <v>26202.6</v>
      </c>
      <c r="E2464" s="66">
        <v>25985.35</v>
      </c>
      <c r="F2464" s="67" t="s">
        <v>289</v>
      </c>
      <c r="G2464" s="68">
        <v>5.8999999999999999E-3</v>
      </c>
      <c r="H2464" s="64"/>
    </row>
    <row r="2465" spans="1:8" x14ac:dyDescent="0.25">
      <c r="A2465" s="65">
        <v>45999</v>
      </c>
      <c r="B2465" s="66">
        <v>25960.55</v>
      </c>
      <c r="C2465" s="66">
        <v>26159.8</v>
      </c>
      <c r="D2465" s="66">
        <v>26178.7</v>
      </c>
      <c r="E2465" s="66">
        <v>25892.25</v>
      </c>
      <c r="F2465" s="67" t="s">
        <v>288</v>
      </c>
      <c r="G2465" s="68">
        <v>-8.6E-3</v>
      </c>
      <c r="H2465" s="64"/>
    </row>
    <row r="2466" spans="1:8" x14ac:dyDescent="0.25">
      <c r="A2466" s="65">
        <v>46000</v>
      </c>
      <c r="B2466" s="66">
        <v>25839.65</v>
      </c>
      <c r="C2466" s="66">
        <v>25867.1</v>
      </c>
      <c r="D2466" s="66">
        <v>25923.65</v>
      </c>
      <c r="E2466" s="66">
        <v>25728</v>
      </c>
      <c r="F2466" s="67" t="s">
        <v>287</v>
      </c>
      <c r="G2466" s="68">
        <v>-4.7000000000000002E-3</v>
      </c>
      <c r="H2466" s="64"/>
    </row>
    <row r="2467" spans="1:8" x14ac:dyDescent="0.25">
      <c r="A2467" s="65">
        <v>46001</v>
      </c>
      <c r="B2467" s="66">
        <v>25758</v>
      </c>
      <c r="C2467" s="66">
        <v>25864.05</v>
      </c>
      <c r="D2467" s="66">
        <v>25947.65</v>
      </c>
      <c r="E2467" s="66">
        <v>25734.55</v>
      </c>
      <c r="F2467" s="67" t="s">
        <v>286</v>
      </c>
      <c r="G2467" s="68">
        <v>-3.2000000000000002E-3</v>
      </c>
      <c r="H2467" s="64"/>
    </row>
    <row r="2468" spans="1:8" x14ac:dyDescent="0.25">
      <c r="A2468" s="65">
        <v>46002</v>
      </c>
      <c r="B2468" s="66">
        <v>25898.55</v>
      </c>
      <c r="C2468" s="66">
        <v>25771.4</v>
      </c>
      <c r="D2468" s="66">
        <v>25922.799999999999</v>
      </c>
      <c r="E2468" s="66">
        <v>25693.25</v>
      </c>
      <c r="F2468" s="67" t="s">
        <v>285</v>
      </c>
      <c r="G2468" s="68">
        <v>5.4999999999999997E-3</v>
      </c>
      <c r="H2468" s="64"/>
    </row>
    <row r="2469" spans="1:8" x14ac:dyDescent="0.25">
      <c r="A2469" s="65">
        <v>46003</v>
      </c>
      <c r="B2469" s="66">
        <v>26046.95</v>
      </c>
      <c r="C2469" s="66">
        <v>25971.200000000001</v>
      </c>
      <c r="D2469" s="66">
        <v>26057.599999999999</v>
      </c>
      <c r="E2469" s="66">
        <v>25938.45</v>
      </c>
      <c r="F2469" s="67" t="s">
        <v>284</v>
      </c>
      <c r="G2469" s="68">
        <v>5.7000000000000002E-3</v>
      </c>
      <c r="H2469" s="64"/>
    </row>
    <row r="2470" spans="1:8" x14ac:dyDescent="0.25">
      <c r="A2470" s="65">
        <v>46006</v>
      </c>
      <c r="B2470" s="66">
        <v>26027.3</v>
      </c>
      <c r="C2470" s="66">
        <v>25930.05</v>
      </c>
      <c r="D2470" s="66">
        <v>26047.15</v>
      </c>
      <c r="E2470" s="66">
        <v>25904.75</v>
      </c>
      <c r="F2470" s="67" t="s">
        <v>283</v>
      </c>
      <c r="G2470" s="68">
        <v>-8.0000000000000004E-4</v>
      </c>
      <c r="H2470" s="64"/>
    </row>
    <row r="2471" spans="1:8" x14ac:dyDescent="0.25">
      <c r="A2471" s="65">
        <v>46007</v>
      </c>
      <c r="B2471" s="66">
        <v>25860.1</v>
      </c>
      <c r="C2471" s="66">
        <v>25951.5</v>
      </c>
      <c r="D2471" s="66">
        <v>25980.75</v>
      </c>
      <c r="E2471" s="66">
        <v>25834.35</v>
      </c>
      <c r="F2471" s="67" t="s">
        <v>282</v>
      </c>
      <c r="G2471" s="68">
        <v>-6.4000000000000003E-3</v>
      </c>
      <c r="H2471" s="64"/>
    </row>
    <row r="2472" spans="1:8" x14ac:dyDescent="0.25">
      <c r="A2472" s="65">
        <v>46008</v>
      </c>
      <c r="B2472" s="66">
        <v>25818.55</v>
      </c>
      <c r="C2472" s="66">
        <v>25902.400000000001</v>
      </c>
      <c r="D2472" s="66">
        <v>25929.15</v>
      </c>
      <c r="E2472" s="66">
        <v>25770.35</v>
      </c>
      <c r="F2472" s="67" t="s">
        <v>281</v>
      </c>
      <c r="G2472" s="68">
        <v>-1.6000000000000001E-3</v>
      </c>
      <c r="H2472" s="64"/>
    </row>
    <row r="2473" spans="1:8" x14ac:dyDescent="0.25">
      <c r="A2473" s="65">
        <v>46009</v>
      </c>
      <c r="B2473" s="66">
        <v>25815.55</v>
      </c>
      <c r="C2473" s="66">
        <v>25764.7</v>
      </c>
      <c r="D2473" s="66">
        <v>25902.35</v>
      </c>
      <c r="E2473" s="66">
        <v>25726.3</v>
      </c>
      <c r="F2473" s="67" t="s">
        <v>280</v>
      </c>
      <c r="G2473" s="68">
        <v>-1E-4</v>
      </c>
      <c r="H2473" s="64"/>
    </row>
    <row r="2474" spans="1:8" x14ac:dyDescent="0.25">
      <c r="A2474" s="65">
        <v>46010</v>
      </c>
      <c r="B2474" s="66">
        <v>25966.400000000001</v>
      </c>
      <c r="C2474" s="66">
        <v>25911.5</v>
      </c>
      <c r="D2474" s="66">
        <v>25993.35</v>
      </c>
      <c r="E2474" s="66">
        <v>25880.45</v>
      </c>
      <c r="F2474" s="67" t="s">
        <v>279</v>
      </c>
      <c r="G2474" s="68">
        <v>5.7999999999999996E-3</v>
      </c>
      <c r="H2474" s="64"/>
    </row>
    <row r="2475" spans="1:8" x14ac:dyDescent="0.25">
      <c r="A2475" s="65">
        <v>46013</v>
      </c>
      <c r="B2475" s="66">
        <v>26172.400000000001</v>
      </c>
      <c r="C2475" s="66">
        <v>26055.85</v>
      </c>
      <c r="D2475" s="66">
        <v>26180.7</v>
      </c>
      <c r="E2475" s="66">
        <v>26047.8</v>
      </c>
      <c r="F2475" s="67" t="s">
        <v>278</v>
      </c>
      <c r="G2475" s="68">
        <v>7.9000000000000008E-3</v>
      </c>
      <c r="H2475" s="64"/>
    </row>
    <row r="2476" spans="1:8" x14ac:dyDescent="0.25">
      <c r="A2476" s="65">
        <v>46014</v>
      </c>
      <c r="B2476" s="66">
        <v>26177.15</v>
      </c>
      <c r="C2476" s="66">
        <v>26205.200000000001</v>
      </c>
      <c r="D2476" s="66">
        <v>26233.55</v>
      </c>
      <c r="E2476" s="66">
        <v>26119.05</v>
      </c>
      <c r="F2476" s="67" t="s">
        <v>277</v>
      </c>
      <c r="G2476" s="68">
        <v>2.0000000000000001E-4</v>
      </c>
      <c r="H2476" s="64"/>
    </row>
    <row r="2477" spans="1:8" x14ac:dyDescent="0.25">
      <c r="A2477" s="65">
        <v>46015</v>
      </c>
      <c r="B2477" s="66">
        <v>26142.1</v>
      </c>
      <c r="C2477" s="66">
        <v>26170.65</v>
      </c>
      <c r="D2477" s="66">
        <v>26236.400000000001</v>
      </c>
      <c r="E2477" s="66">
        <v>26123</v>
      </c>
      <c r="F2477" s="67" t="s">
        <v>276</v>
      </c>
      <c r="G2477" s="68">
        <v>-1.2999999999999999E-3</v>
      </c>
      <c r="H2477" s="64"/>
    </row>
    <row r="2478" spans="1:8" x14ac:dyDescent="0.25">
      <c r="A2478" s="65">
        <v>46017</v>
      </c>
      <c r="B2478" s="66">
        <v>26042.3</v>
      </c>
      <c r="C2478" s="66">
        <v>26121.25</v>
      </c>
      <c r="D2478" s="66">
        <v>26144.2</v>
      </c>
      <c r="E2478" s="66">
        <v>26008.6</v>
      </c>
      <c r="F2478" s="67" t="s">
        <v>275</v>
      </c>
      <c r="G2478" s="68">
        <v>-3.8E-3</v>
      </c>
      <c r="H2478" s="64"/>
    </row>
    <row r="2479" spans="1:8" x14ac:dyDescent="0.25">
      <c r="A2479" s="65">
        <v>46020</v>
      </c>
      <c r="B2479" s="66">
        <v>25942.1</v>
      </c>
      <c r="C2479" s="66">
        <v>26063.35</v>
      </c>
      <c r="D2479" s="66">
        <v>26106.799999999999</v>
      </c>
      <c r="E2479" s="66">
        <v>25920.3</v>
      </c>
      <c r="F2479" s="67" t="s">
        <v>274</v>
      </c>
      <c r="G2479" s="68">
        <v>-3.8E-3</v>
      </c>
      <c r="H2479" s="64"/>
    </row>
    <row r="2480" spans="1:8" x14ac:dyDescent="0.25">
      <c r="A2480" s="65">
        <v>46021</v>
      </c>
      <c r="B2480" s="66">
        <v>25938.85</v>
      </c>
      <c r="C2480" s="66">
        <v>25940.9</v>
      </c>
      <c r="D2480" s="66">
        <v>25976.75</v>
      </c>
      <c r="E2480" s="66">
        <v>25878</v>
      </c>
      <c r="F2480" s="67" t="s">
        <v>273</v>
      </c>
      <c r="G2480" s="68">
        <v>-1E-4</v>
      </c>
      <c r="H2480" s="64"/>
    </row>
    <row r="2481" spans="1:8" x14ac:dyDescent="0.25">
      <c r="A2481" s="65">
        <v>46022</v>
      </c>
      <c r="B2481" s="66">
        <v>26129.599999999999</v>
      </c>
      <c r="C2481" s="66">
        <v>25971.05</v>
      </c>
      <c r="D2481" s="66">
        <v>26187.95</v>
      </c>
      <c r="E2481" s="66">
        <v>25969</v>
      </c>
      <c r="F2481" s="67" t="s">
        <v>272</v>
      </c>
      <c r="G2481" s="68">
        <v>7.4000000000000003E-3</v>
      </c>
      <c r="H2481" s="64"/>
    </row>
    <row r="2482" spans="1:8" x14ac:dyDescent="0.25">
      <c r="A2482" s="65">
        <v>46023</v>
      </c>
      <c r="B2482" s="66">
        <v>26146.55</v>
      </c>
      <c r="C2482" s="66">
        <v>26173.3</v>
      </c>
      <c r="D2482" s="66">
        <v>26197.55</v>
      </c>
      <c r="E2482" s="66">
        <v>26113.4</v>
      </c>
      <c r="F2482" s="67" t="s">
        <v>271</v>
      </c>
      <c r="G2482" s="68">
        <v>5.9999999999999995E-4</v>
      </c>
      <c r="H2482" s="64"/>
    </row>
    <row r="2483" spans="1:8" x14ac:dyDescent="0.25">
      <c r="A2483" s="65">
        <v>46024</v>
      </c>
      <c r="B2483" s="66">
        <v>26328.55</v>
      </c>
      <c r="C2483" s="66">
        <v>26155.1</v>
      </c>
      <c r="D2483" s="66">
        <v>26340</v>
      </c>
      <c r="E2483" s="66">
        <v>26118.400000000001</v>
      </c>
      <c r="F2483" s="67" t="s">
        <v>270</v>
      </c>
      <c r="G2483" s="68">
        <v>7.0000000000000001E-3</v>
      </c>
      <c r="H2483" s="64"/>
    </row>
    <row r="2484" spans="1:8" x14ac:dyDescent="0.25">
      <c r="A2484" s="65">
        <v>46027</v>
      </c>
      <c r="B2484" s="66">
        <v>26250.3</v>
      </c>
      <c r="C2484" s="66">
        <v>26333.7</v>
      </c>
      <c r="D2484" s="66">
        <v>26373.200000000001</v>
      </c>
      <c r="E2484" s="66">
        <v>26210.05</v>
      </c>
      <c r="F2484" s="67" t="s">
        <v>269</v>
      </c>
      <c r="G2484" s="68">
        <v>-3.0000000000000001E-3</v>
      </c>
      <c r="H2484" s="64"/>
    </row>
    <row r="2485" spans="1:8" x14ac:dyDescent="0.25">
      <c r="A2485" s="65">
        <v>46028</v>
      </c>
      <c r="B2485" s="66">
        <v>26178.7</v>
      </c>
      <c r="C2485" s="66">
        <v>26189.7</v>
      </c>
      <c r="D2485" s="66">
        <v>26273.95</v>
      </c>
      <c r="E2485" s="66">
        <v>26124.75</v>
      </c>
      <c r="F2485" s="67" t="s">
        <v>268</v>
      </c>
      <c r="G2485" s="68">
        <v>-2.7000000000000001E-3</v>
      </c>
      <c r="H2485" s="64"/>
    </row>
    <row r="2486" spans="1:8" x14ac:dyDescent="0.25">
      <c r="A2486" s="65">
        <v>46029</v>
      </c>
      <c r="B2486" s="66">
        <v>26140.75</v>
      </c>
      <c r="C2486" s="66">
        <v>26143.1</v>
      </c>
      <c r="D2486" s="66">
        <v>26187.15</v>
      </c>
      <c r="E2486" s="66">
        <v>26067.9</v>
      </c>
      <c r="F2486" s="67" t="s">
        <v>267</v>
      </c>
      <c r="G2486" s="68">
        <v>-1.4E-3</v>
      </c>
      <c r="H2486" s="64"/>
    </row>
    <row r="2487" spans="1:8" x14ac:dyDescent="0.25">
      <c r="A2487" s="65">
        <v>46030</v>
      </c>
      <c r="B2487" s="66">
        <v>25876.85</v>
      </c>
      <c r="C2487" s="66">
        <v>26106.5</v>
      </c>
      <c r="D2487" s="66">
        <v>26133.200000000001</v>
      </c>
      <c r="E2487" s="66">
        <v>25858.45</v>
      </c>
      <c r="F2487" s="67" t="s">
        <v>266</v>
      </c>
      <c r="G2487" s="68">
        <v>-1.01E-2</v>
      </c>
      <c r="H2487" s="64"/>
    </row>
    <row r="2488" spans="1:8" x14ac:dyDescent="0.25">
      <c r="A2488" s="65">
        <v>46031</v>
      </c>
      <c r="B2488" s="66">
        <v>25683.3</v>
      </c>
      <c r="C2488" s="66">
        <v>25840.400000000001</v>
      </c>
      <c r="D2488" s="66">
        <v>25940.6</v>
      </c>
      <c r="E2488" s="66">
        <v>25623</v>
      </c>
      <c r="F2488" s="67" t="s">
        <v>265</v>
      </c>
      <c r="G2488" s="68">
        <v>-7.4999999999999997E-3</v>
      </c>
      <c r="H2488" s="64"/>
    </row>
    <row r="2489" spans="1:8" x14ac:dyDescent="0.25">
      <c r="A2489" s="65">
        <v>46034</v>
      </c>
      <c r="B2489" s="66">
        <v>25790.25</v>
      </c>
      <c r="C2489" s="66">
        <v>25669.05</v>
      </c>
      <c r="D2489" s="66">
        <v>25813.15</v>
      </c>
      <c r="E2489" s="66">
        <v>25473.4</v>
      </c>
      <c r="F2489" s="67" t="s">
        <v>264</v>
      </c>
      <c r="G2489" s="68">
        <v>4.1999999999999997E-3</v>
      </c>
      <c r="H2489" s="64"/>
    </row>
    <row r="2490" spans="1:8" x14ac:dyDescent="0.25">
      <c r="A2490" s="65">
        <v>46035</v>
      </c>
      <c r="B2490" s="66">
        <v>25732.3</v>
      </c>
      <c r="C2490" s="66">
        <v>25897.35</v>
      </c>
      <c r="D2490" s="66">
        <v>25899.8</v>
      </c>
      <c r="E2490" s="66">
        <v>25603.3</v>
      </c>
      <c r="F2490" s="67" t="s">
        <v>263</v>
      </c>
      <c r="G2490" s="68">
        <v>-2.2000000000000001E-3</v>
      </c>
      <c r="H2490" s="64"/>
    </row>
    <row r="2491" spans="1:8" x14ac:dyDescent="0.25">
      <c r="A2491" s="65">
        <v>46036</v>
      </c>
      <c r="B2491" s="66">
        <v>25665.599999999999</v>
      </c>
      <c r="C2491" s="66">
        <v>25648.55</v>
      </c>
      <c r="D2491" s="66">
        <v>25791.75</v>
      </c>
      <c r="E2491" s="66">
        <v>25603.95</v>
      </c>
      <c r="F2491" s="67" t="s">
        <v>262</v>
      </c>
      <c r="G2491" s="68">
        <v>-2.5999999999999999E-3</v>
      </c>
      <c r="H2491" s="64"/>
    </row>
    <row r="2492" spans="1:8" x14ac:dyDescent="0.25">
      <c r="A2492" s="65">
        <v>46038</v>
      </c>
      <c r="B2492" s="66">
        <v>25694.35</v>
      </c>
      <c r="C2492" s="66">
        <v>25696.05</v>
      </c>
      <c r="D2492" s="66">
        <v>25873.5</v>
      </c>
      <c r="E2492" s="66">
        <v>25662.400000000001</v>
      </c>
      <c r="F2492" s="67" t="s">
        <v>261</v>
      </c>
      <c r="G2492" s="68">
        <v>1.1000000000000001E-3</v>
      </c>
      <c r="H2492" s="64"/>
    </row>
    <row r="2493" spans="1:8" x14ac:dyDescent="0.25">
      <c r="A2493" s="65">
        <v>46041</v>
      </c>
      <c r="B2493" s="66">
        <v>25585.5</v>
      </c>
      <c r="C2493" s="66">
        <v>25653.1</v>
      </c>
      <c r="D2493" s="66">
        <v>25653.3</v>
      </c>
      <c r="E2493" s="66">
        <v>25494.35</v>
      </c>
      <c r="F2493" s="67" t="s">
        <v>260</v>
      </c>
      <c r="G2493" s="68">
        <v>-4.1999999999999997E-3</v>
      </c>
      <c r="H2493" s="64"/>
    </row>
    <row r="2494" spans="1:8" x14ac:dyDescent="0.25">
      <c r="A2494" s="65">
        <v>46042</v>
      </c>
      <c r="B2494" s="66">
        <v>25232.5</v>
      </c>
      <c r="C2494" s="66">
        <v>25580.3</v>
      </c>
      <c r="D2494" s="66">
        <v>25585</v>
      </c>
      <c r="E2494" s="66">
        <v>25171.35</v>
      </c>
      <c r="F2494" s="67" t="s">
        <v>259</v>
      </c>
      <c r="G2494" s="68">
        <v>-1.38E-2</v>
      </c>
      <c r="H2494" s="64"/>
    </row>
    <row r="2495" spans="1:8" x14ac:dyDescent="0.25">
      <c r="A2495" s="65">
        <v>46043</v>
      </c>
      <c r="B2495" s="66">
        <v>25157.5</v>
      </c>
      <c r="C2495" s="66">
        <v>25141</v>
      </c>
      <c r="D2495" s="66">
        <v>25300.95</v>
      </c>
      <c r="E2495" s="66">
        <v>24919.8</v>
      </c>
      <c r="F2495" s="67" t="s">
        <v>258</v>
      </c>
      <c r="G2495" s="68">
        <v>-3.0000000000000001E-3</v>
      </c>
      <c r="H2495" s="64"/>
    </row>
    <row r="2496" spans="1:8" x14ac:dyDescent="0.25">
      <c r="A2496" s="65">
        <v>46044</v>
      </c>
      <c r="B2496" s="66">
        <v>25289.9</v>
      </c>
      <c r="C2496" s="66">
        <v>25344.15</v>
      </c>
      <c r="D2496" s="66">
        <v>25435.75</v>
      </c>
      <c r="E2496" s="66">
        <v>25168.5</v>
      </c>
      <c r="F2496" s="67" t="s">
        <v>257</v>
      </c>
      <c r="G2496" s="68">
        <v>5.3E-3</v>
      </c>
      <c r="H2496" s="64"/>
    </row>
    <row r="2497" spans="1:8" x14ac:dyDescent="0.25">
      <c r="A2497" s="65">
        <v>46045</v>
      </c>
      <c r="B2497" s="66">
        <v>25048.65</v>
      </c>
      <c r="C2497" s="66">
        <v>25344.6</v>
      </c>
      <c r="D2497" s="66">
        <v>25347.95</v>
      </c>
      <c r="E2497" s="66">
        <v>25025.3</v>
      </c>
      <c r="F2497" s="67" t="s">
        <v>256</v>
      </c>
      <c r="G2497" s="68">
        <v>-9.4999999999999998E-3</v>
      </c>
      <c r="H2497" s="64"/>
    </row>
    <row r="2498" spans="1:8" x14ac:dyDescent="0.25">
      <c r="A2498" s="65">
        <v>46049</v>
      </c>
      <c r="B2498" s="66">
        <v>25175.4</v>
      </c>
      <c r="C2498" s="66">
        <v>25063.35</v>
      </c>
      <c r="D2498" s="66">
        <v>25246.65</v>
      </c>
      <c r="E2498" s="66">
        <v>24932.55</v>
      </c>
      <c r="F2498" s="67" t="s">
        <v>255</v>
      </c>
      <c r="G2498" s="68">
        <v>5.1000000000000004E-3</v>
      </c>
      <c r="H2498" s="64"/>
    </row>
    <row r="2499" spans="1:8" x14ac:dyDescent="0.25">
      <c r="A2499" s="65">
        <v>46050</v>
      </c>
      <c r="B2499" s="66">
        <v>25342.75</v>
      </c>
      <c r="C2499" s="66">
        <v>25258.85</v>
      </c>
      <c r="D2499" s="66">
        <v>25372.1</v>
      </c>
      <c r="E2499" s="66">
        <v>25187.65</v>
      </c>
      <c r="F2499" s="67" t="s">
        <v>254</v>
      </c>
      <c r="G2499" s="68">
        <v>6.6E-3</v>
      </c>
      <c r="H2499" s="64"/>
    </row>
    <row r="2500" spans="1:8" x14ac:dyDescent="0.25">
      <c r="A2500" s="65">
        <v>46051</v>
      </c>
      <c r="B2500" s="66">
        <v>25418.9</v>
      </c>
      <c r="C2500" s="66">
        <v>25345</v>
      </c>
      <c r="D2500" s="66">
        <v>25458.15</v>
      </c>
      <c r="E2500" s="66">
        <v>25159.8</v>
      </c>
      <c r="F2500" s="67" t="s">
        <v>253</v>
      </c>
      <c r="G2500" s="68">
        <v>3.0000000000000001E-3</v>
      </c>
      <c r="H2500" s="64"/>
    </row>
    <row r="2501" spans="1:8" x14ac:dyDescent="0.25">
      <c r="A2501" s="65">
        <v>46052</v>
      </c>
      <c r="B2501" s="66">
        <v>25320.65</v>
      </c>
      <c r="C2501" s="66">
        <v>25247.55</v>
      </c>
      <c r="D2501" s="66">
        <v>25370.7</v>
      </c>
      <c r="E2501" s="66">
        <v>25213.65</v>
      </c>
      <c r="F2501" s="67" t="s">
        <v>252</v>
      </c>
      <c r="G2501" s="68">
        <v>-3.8999999999999998E-3</v>
      </c>
      <c r="H2501" s="64"/>
    </row>
    <row r="2502" spans="1:8" x14ac:dyDescent="0.25">
      <c r="A2502" s="65">
        <v>46054</v>
      </c>
      <c r="B2502" s="66">
        <v>24825.45</v>
      </c>
      <c r="C2502" s="66">
        <v>25333.75</v>
      </c>
      <c r="D2502" s="66">
        <v>25440.9</v>
      </c>
      <c r="E2502" s="66">
        <v>24571.75</v>
      </c>
      <c r="F2502" s="67" t="s">
        <v>251</v>
      </c>
      <c r="G2502" s="68">
        <v>-1.9599999999999999E-2</v>
      </c>
      <c r="H2502" s="64"/>
    </row>
    <row r="2503" spans="1:8" x14ac:dyDescent="0.25">
      <c r="A2503" s="65">
        <v>46055</v>
      </c>
      <c r="B2503" s="66">
        <v>25088.400000000001</v>
      </c>
      <c r="C2503" s="66">
        <v>24796.5</v>
      </c>
      <c r="D2503" s="66">
        <v>25108.1</v>
      </c>
      <c r="E2503" s="66">
        <v>24679.4</v>
      </c>
      <c r="F2503" s="67" t="s">
        <v>250</v>
      </c>
      <c r="G2503" s="68">
        <v>1.06E-2</v>
      </c>
      <c r="H2503" s="64"/>
    </row>
    <row r="2504" spans="1:8" x14ac:dyDescent="0.25">
      <c r="A2504" s="65">
        <v>46056</v>
      </c>
      <c r="B2504" s="66">
        <v>25727.55</v>
      </c>
      <c r="C2504" s="66">
        <v>26308.05</v>
      </c>
      <c r="D2504" s="66">
        <v>26341.200000000001</v>
      </c>
      <c r="E2504" s="66">
        <v>25641.3</v>
      </c>
      <c r="F2504" s="67" t="s">
        <v>249</v>
      </c>
      <c r="G2504" s="68">
        <v>2.5499999999999998E-2</v>
      </c>
      <c r="H2504" s="64"/>
    </row>
    <row r="2505" spans="1:8" x14ac:dyDescent="0.25">
      <c r="A2505" s="65">
        <v>46057</v>
      </c>
      <c r="B2505" s="66">
        <v>25776</v>
      </c>
      <c r="C2505" s="66">
        <v>25675.05</v>
      </c>
      <c r="D2505" s="66">
        <v>25818.55</v>
      </c>
      <c r="E2505" s="66">
        <v>25563.95</v>
      </c>
      <c r="F2505" s="67" t="s">
        <v>248</v>
      </c>
      <c r="G2505" s="68">
        <v>1.9E-3</v>
      </c>
      <c r="H2505" s="64"/>
    </row>
    <row r="2506" spans="1:8" x14ac:dyDescent="0.25">
      <c r="A2506" s="65">
        <v>46058</v>
      </c>
      <c r="B2506" s="66">
        <v>25642.799999999999</v>
      </c>
      <c r="C2506" s="66">
        <v>25755.9</v>
      </c>
      <c r="D2506" s="66">
        <v>25757.65</v>
      </c>
      <c r="E2506" s="66">
        <v>25579.5</v>
      </c>
      <c r="F2506" s="67" t="s">
        <v>247</v>
      </c>
      <c r="G2506" s="68">
        <v>-5.1999999999999998E-3</v>
      </c>
      <c r="H2506" s="64"/>
    </row>
    <row r="2507" spans="1:8" x14ac:dyDescent="0.25">
      <c r="A2507" s="65">
        <v>46059</v>
      </c>
      <c r="B2507" s="66">
        <v>25693.7</v>
      </c>
      <c r="C2507" s="66">
        <v>25605.8</v>
      </c>
      <c r="D2507" s="66">
        <v>25703.95</v>
      </c>
      <c r="E2507" s="66">
        <v>25491.9</v>
      </c>
      <c r="F2507" s="67" t="s">
        <v>246</v>
      </c>
      <c r="G2507" s="68">
        <v>2E-3</v>
      </c>
      <c r="H2507" s="64"/>
    </row>
    <row r="2508" spans="1:8" x14ac:dyDescent="0.25">
      <c r="A2508" s="65">
        <v>46062</v>
      </c>
      <c r="B2508" s="66">
        <v>25867.3</v>
      </c>
      <c r="C2508" s="66">
        <v>25888.7</v>
      </c>
      <c r="D2508" s="66">
        <v>25922.25</v>
      </c>
      <c r="E2508" s="66">
        <v>25780.9</v>
      </c>
      <c r="F2508" s="67" t="s">
        <v>245</v>
      </c>
      <c r="G2508" s="68">
        <v>6.7999999999999996E-3</v>
      </c>
      <c r="H2508" s="64"/>
    </row>
    <row r="2509" spans="1:8" x14ac:dyDescent="0.25">
      <c r="A2509" s="65">
        <v>46063</v>
      </c>
      <c r="B2509" s="66">
        <v>25935.15</v>
      </c>
      <c r="C2509" s="66">
        <v>25922.65</v>
      </c>
      <c r="D2509" s="66">
        <v>25989.45</v>
      </c>
      <c r="E2509" s="66">
        <v>25870.45</v>
      </c>
      <c r="F2509" s="67" t="s">
        <v>244</v>
      </c>
      <c r="G2509" s="68">
        <v>2.5999999999999999E-3</v>
      </c>
      <c r="H2509" s="64"/>
    </row>
    <row r="2510" spans="1:8" x14ac:dyDescent="0.25">
      <c r="A2510" s="65">
        <v>46064</v>
      </c>
      <c r="B2510" s="66">
        <v>25953.85</v>
      </c>
      <c r="C2510" s="66">
        <v>25997.45</v>
      </c>
      <c r="D2510" s="66">
        <v>26009.4</v>
      </c>
      <c r="E2510" s="66">
        <v>25899.8</v>
      </c>
      <c r="F2510" s="67" t="s">
        <v>243</v>
      </c>
      <c r="G2510" s="68">
        <v>6.9999999999999999E-4</v>
      </c>
      <c r="H2510" s="64"/>
    </row>
    <row r="2511" spans="1:8" x14ac:dyDescent="0.25">
      <c r="A2511" s="65">
        <v>46065</v>
      </c>
      <c r="B2511" s="66">
        <v>25807.200000000001</v>
      </c>
      <c r="C2511" s="66">
        <v>25906.7</v>
      </c>
      <c r="D2511" s="66">
        <v>25906.7</v>
      </c>
      <c r="E2511" s="66">
        <v>25752.400000000001</v>
      </c>
      <c r="F2511" s="67" t="s">
        <v>242</v>
      </c>
      <c r="G2511" s="68">
        <v>-5.7000000000000002E-3</v>
      </c>
      <c r="H2511" s="64"/>
    </row>
    <row r="2512" spans="1:8" x14ac:dyDescent="0.25">
      <c r="A2512" s="65">
        <v>46066</v>
      </c>
      <c r="B2512" s="66">
        <v>25471.1</v>
      </c>
      <c r="C2512" s="66">
        <v>25571.15</v>
      </c>
      <c r="D2512" s="66">
        <v>25630.35</v>
      </c>
      <c r="E2512" s="66">
        <v>25444.3</v>
      </c>
      <c r="F2512" s="67" t="s">
        <v>241</v>
      </c>
      <c r="G2512" s="68">
        <v>-1.2999999999999999E-2</v>
      </c>
      <c r="H2512" s="64"/>
    </row>
    <row r="2513" spans="1:8" x14ac:dyDescent="0.25">
      <c r="A2513" s="65">
        <v>46069</v>
      </c>
      <c r="B2513" s="66">
        <v>25682.75</v>
      </c>
      <c r="C2513" s="66">
        <v>25423.599999999999</v>
      </c>
      <c r="D2513" s="66">
        <v>25697</v>
      </c>
      <c r="E2513" s="66">
        <v>25372.7</v>
      </c>
      <c r="F2513" s="67" t="s">
        <v>240</v>
      </c>
      <c r="G2513" s="68">
        <v>8.3000000000000001E-3</v>
      </c>
      <c r="H2513" s="64"/>
    </row>
    <row r="2514" spans="1:8" x14ac:dyDescent="0.25">
      <c r="A2514" s="65">
        <v>46070</v>
      </c>
      <c r="B2514" s="66">
        <v>25725.4</v>
      </c>
      <c r="C2514" s="66">
        <v>25637.95</v>
      </c>
      <c r="D2514" s="66">
        <v>25764.400000000001</v>
      </c>
      <c r="E2514" s="66">
        <v>25570.3</v>
      </c>
      <c r="F2514" s="67" t="s">
        <v>239</v>
      </c>
      <c r="G2514" s="68">
        <v>1.6999999999999999E-3</v>
      </c>
      <c r="H2514" s="64"/>
    </row>
    <row r="2515" spans="1:8" x14ac:dyDescent="0.25">
      <c r="A2515" s="65">
        <v>46071</v>
      </c>
      <c r="B2515" s="66">
        <v>25819.35</v>
      </c>
      <c r="C2515" s="66">
        <v>25752.65</v>
      </c>
      <c r="D2515" s="66">
        <v>25828.05</v>
      </c>
      <c r="E2515" s="66">
        <v>25645.15</v>
      </c>
      <c r="F2515" s="67" t="s">
        <v>238</v>
      </c>
      <c r="G2515" s="68">
        <v>3.7000000000000002E-3</v>
      </c>
      <c r="H2515" s="64"/>
    </row>
    <row r="2516" spans="1:8" x14ac:dyDescent="0.25">
      <c r="A2516" s="65">
        <v>46072</v>
      </c>
      <c r="B2516" s="66">
        <v>25454.35</v>
      </c>
      <c r="C2516" s="66">
        <v>25873.35</v>
      </c>
      <c r="D2516" s="66">
        <v>25885.3</v>
      </c>
      <c r="E2516" s="66">
        <v>25388.75</v>
      </c>
      <c r="F2516" s="67" t="s">
        <v>237</v>
      </c>
      <c r="G2516" s="68">
        <v>-1.41E-2</v>
      </c>
      <c r="H2516" s="64"/>
    </row>
    <row r="2517" spans="1:8" x14ac:dyDescent="0.25">
      <c r="A2517" s="65">
        <v>46073</v>
      </c>
      <c r="B2517" s="66">
        <v>25571.25</v>
      </c>
      <c r="C2517" s="66">
        <v>25406.55</v>
      </c>
      <c r="D2517" s="66">
        <v>25663.55</v>
      </c>
      <c r="E2517" s="66">
        <v>25379.75</v>
      </c>
      <c r="F2517" s="67" t="s">
        <v>236</v>
      </c>
      <c r="G2517" s="68">
        <v>4.5999999999999999E-3</v>
      </c>
      <c r="H2517" s="64"/>
    </row>
    <row r="2518" spans="1:8" x14ac:dyDescent="0.25">
      <c r="A2518" s="65">
        <v>46076</v>
      </c>
      <c r="B2518" s="66">
        <v>25713</v>
      </c>
      <c r="C2518" s="66">
        <v>25678.400000000001</v>
      </c>
      <c r="D2518" s="66">
        <v>25771.45</v>
      </c>
      <c r="E2518" s="66">
        <v>25609.35</v>
      </c>
      <c r="F2518" s="67" t="s">
        <v>235</v>
      </c>
      <c r="G2518" s="68">
        <v>5.4999999999999997E-3</v>
      </c>
      <c r="H2518" s="64"/>
    </row>
    <row r="2519" spans="1:8" x14ac:dyDescent="0.25">
      <c r="A2519" s="65">
        <v>46077</v>
      </c>
      <c r="B2519" s="66">
        <v>25424.65</v>
      </c>
      <c r="C2519" s="66">
        <v>25641.8</v>
      </c>
      <c r="D2519" s="66">
        <v>25641.8</v>
      </c>
      <c r="E2519" s="66">
        <v>25327.599999999999</v>
      </c>
      <c r="F2519" s="67" t="s">
        <v>234</v>
      </c>
      <c r="G2519" s="68">
        <v>-1.12E-2</v>
      </c>
      <c r="H2519" s="64"/>
    </row>
    <row r="2520" spans="1:8" x14ac:dyDescent="0.25">
      <c r="A2520" s="65">
        <v>46078</v>
      </c>
      <c r="B2520" s="66">
        <v>25482.5</v>
      </c>
      <c r="C2520" s="66">
        <v>25512.6</v>
      </c>
      <c r="D2520" s="66">
        <v>25652.6</v>
      </c>
      <c r="E2520" s="66">
        <v>25428.2</v>
      </c>
      <c r="F2520" s="67" t="s">
        <v>233</v>
      </c>
      <c r="G2520" s="68">
        <v>2.3E-3</v>
      </c>
      <c r="H2520" s="64"/>
    </row>
    <row r="2521" spans="1:8" x14ac:dyDescent="0.25">
      <c r="A2521" s="65">
        <v>46079</v>
      </c>
      <c r="B2521" s="66">
        <v>25496.55</v>
      </c>
      <c r="C2521" s="66">
        <v>25556.3</v>
      </c>
      <c r="D2521" s="66">
        <v>25572.95</v>
      </c>
      <c r="E2521" s="66">
        <v>25400.95</v>
      </c>
      <c r="F2521" s="67" t="s">
        <v>232</v>
      </c>
      <c r="G2521" s="68">
        <v>5.9999999999999995E-4</v>
      </c>
      <c r="H2521" s="64"/>
    </row>
    <row r="2522" spans="1:8" x14ac:dyDescent="0.25">
      <c r="A2522" s="65">
        <v>46080</v>
      </c>
      <c r="B2522" s="66">
        <v>25178.65</v>
      </c>
      <c r="C2522" s="66">
        <v>25459.85</v>
      </c>
      <c r="D2522" s="66">
        <v>25476.400000000001</v>
      </c>
      <c r="E2522" s="66">
        <v>25141.3</v>
      </c>
      <c r="F2522" s="67" t="s">
        <v>231</v>
      </c>
      <c r="G2522" s="68">
        <v>-1.2500000000000001E-2</v>
      </c>
      <c r="H2522" s="64"/>
    </row>
    <row r="2523" spans="1:8" x14ac:dyDescent="0.25">
      <c r="A2523" s="65">
        <v>46083</v>
      </c>
      <c r="B2523" s="66">
        <v>24865.7</v>
      </c>
      <c r="C2523" s="66">
        <v>24659.25</v>
      </c>
      <c r="D2523" s="66">
        <v>24989.35</v>
      </c>
      <c r="E2523" s="66">
        <v>24603.5</v>
      </c>
      <c r="F2523" s="67" t="s">
        <v>230</v>
      </c>
      <c r="G2523" s="68">
        <v>-1.24E-2</v>
      </c>
      <c r="H2523" s="64"/>
    </row>
    <row r="2524" spans="1:8" x14ac:dyDescent="0.25">
      <c r="A2524" s="65">
        <v>46085</v>
      </c>
      <c r="B2524" s="66">
        <v>24480.5</v>
      </c>
      <c r="C2524" s="66">
        <v>24388.799999999999</v>
      </c>
      <c r="D2524" s="66">
        <v>24602.45</v>
      </c>
      <c r="E2524" s="66">
        <v>24305.4</v>
      </c>
      <c r="F2524" s="67" t="s">
        <v>229</v>
      </c>
      <c r="G2524" s="68">
        <v>-1.55E-2</v>
      </c>
      <c r="H2524" s="64"/>
    </row>
    <row r="2525" spans="1:8" x14ac:dyDescent="0.25">
      <c r="A2525" s="65">
        <v>46086</v>
      </c>
      <c r="B2525" s="66">
        <v>24765.9</v>
      </c>
      <c r="C2525" s="66">
        <v>24615.95</v>
      </c>
      <c r="D2525" s="66">
        <v>24854.2</v>
      </c>
      <c r="E2525" s="66">
        <v>24529.4</v>
      </c>
      <c r="F2525" s="67" t="s">
        <v>228</v>
      </c>
      <c r="G2525" s="68">
        <v>1.17E-2</v>
      </c>
      <c r="H2525" s="64"/>
    </row>
    <row r="2526" spans="1:8" x14ac:dyDescent="0.25">
      <c r="A2526" s="65">
        <v>46087</v>
      </c>
      <c r="B2526" s="66">
        <v>24450.45</v>
      </c>
      <c r="C2526" s="66">
        <v>24656.400000000001</v>
      </c>
      <c r="D2526" s="66">
        <v>24700.9</v>
      </c>
      <c r="E2526" s="66">
        <v>24415.75</v>
      </c>
      <c r="F2526" s="67" t="s">
        <v>227</v>
      </c>
      <c r="G2526" s="68">
        <v>-1.2699999999999999E-2</v>
      </c>
      <c r="H2526" s="64"/>
    </row>
    <row r="2527" spans="1:8" x14ac:dyDescent="0.25">
      <c r="A2527" s="65">
        <v>46090</v>
      </c>
      <c r="B2527" s="66">
        <v>24028.05</v>
      </c>
      <c r="C2527" s="66">
        <v>23868.05</v>
      </c>
      <c r="D2527" s="66">
        <v>24078.15</v>
      </c>
      <c r="E2527" s="66">
        <v>23697.8</v>
      </c>
      <c r="F2527" s="67" t="s">
        <v>226</v>
      </c>
      <c r="G2527" s="68">
        <v>-1.7299999999999999E-2</v>
      </c>
      <c r="H2527" s="64"/>
    </row>
    <row r="2528" spans="1:8" x14ac:dyDescent="0.25">
      <c r="A2528" s="65">
        <v>46091</v>
      </c>
      <c r="B2528" s="66">
        <v>24261.599999999999</v>
      </c>
      <c r="C2528" s="66">
        <v>24280.799999999999</v>
      </c>
      <c r="D2528" s="66">
        <v>24303.8</v>
      </c>
      <c r="E2528" s="66">
        <v>24079.95</v>
      </c>
      <c r="F2528" s="67" t="s">
        <v>225</v>
      </c>
      <c r="G2528" s="68">
        <v>9.7000000000000003E-3</v>
      </c>
      <c r="H2528" s="64"/>
    </row>
    <row r="2529" spans="1:8" x14ac:dyDescent="0.25">
      <c r="A2529" s="65">
        <v>46092</v>
      </c>
      <c r="B2529" s="66">
        <v>23866.85</v>
      </c>
      <c r="C2529" s="66">
        <v>24231.85</v>
      </c>
      <c r="D2529" s="66">
        <v>24299</v>
      </c>
      <c r="E2529" s="66">
        <v>23834.3</v>
      </c>
      <c r="F2529" s="67" t="s">
        <v>224</v>
      </c>
      <c r="G2529" s="68">
        <v>-1.6299999999999999E-2</v>
      </c>
      <c r="H2529" s="64"/>
    </row>
    <row r="2530" spans="1:8" x14ac:dyDescent="0.25">
      <c r="A2530" s="65">
        <v>46093</v>
      </c>
      <c r="B2530" s="66">
        <v>23639.15</v>
      </c>
      <c r="C2530" s="66">
        <v>23674.85</v>
      </c>
      <c r="D2530" s="66">
        <v>23833.15</v>
      </c>
      <c r="E2530" s="66">
        <v>23556.3</v>
      </c>
      <c r="F2530" s="67" t="s">
        <v>223</v>
      </c>
      <c r="G2530" s="68">
        <v>-9.4999999999999998E-3</v>
      </c>
      <c r="H2530" s="64"/>
    </row>
    <row r="2531" spans="1:8" x14ac:dyDescent="0.25">
      <c r="A2531" s="65">
        <v>46094</v>
      </c>
      <c r="B2531" s="66">
        <v>23151.1</v>
      </c>
      <c r="C2531" s="66">
        <v>23462.5</v>
      </c>
      <c r="D2531" s="66">
        <v>23492.400000000001</v>
      </c>
      <c r="E2531" s="66">
        <v>23112</v>
      </c>
      <c r="F2531" s="67" t="s">
        <v>222</v>
      </c>
      <c r="G2531" s="68">
        <v>-2.06E-2</v>
      </c>
      <c r="H2531" s="64"/>
    </row>
    <row r="2532" spans="1:8" x14ac:dyDescent="0.25">
      <c r="A2532" s="65">
        <v>46097</v>
      </c>
      <c r="B2532" s="66">
        <v>23408.799999999999</v>
      </c>
      <c r="C2532" s="66">
        <v>23116.1</v>
      </c>
      <c r="D2532" s="66">
        <v>23502</v>
      </c>
      <c r="E2532" s="66">
        <v>22955.25</v>
      </c>
      <c r="F2532" s="67" t="s">
        <v>221</v>
      </c>
      <c r="G2532" s="68">
        <v>1.11E-2</v>
      </c>
      <c r="H2532" s="64"/>
    </row>
    <row r="2533" spans="1:8" x14ac:dyDescent="0.25">
      <c r="A2533" s="65">
        <v>46098</v>
      </c>
      <c r="B2533" s="66">
        <v>23581.15</v>
      </c>
      <c r="C2533" s="66">
        <v>23493.200000000001</v>
      </c>
      <c r="D2533" s="66">
        <v>23656.799999999999</v>
      </c>
      <c r="E2533" s="66">
        <v>23346.6</v>
      </c>
      <c r="F2533" s="67" t="s">
        <v>220</v>
      </c>
      <c r="G2533" s="68">
        <v>7.4000000000000003E-3</v>
      </c>
      <c r="H2533" s="64"/>
    </row>
    <row r="2534" spans="1:8" x14ac:dyDescent="0.25">
      <c r="A2534" s="65">
        <v>46099</v>
      </c>
      <c r="B2534" s="66">
        <v>23777.8</v>
      </c>
      <c r="C2534" s="66">
        <v>23632.9</v>
      </c>
      <c r="D2534" s="66">
        <v>23862.25</v>
      </c>
      <c r="E2534" s="66">
        <v>23618.45</v>
      </c>
      <c r="F2534" s="67" t="s">
        <v>219</v>
      </c>
      <c r="G2534" s="68">
        <v>8.3000000000000001E-3</v>
      </c>
      <c r="H2534" s="64"/>
    </row>
    <row r="2535" spans="1:8" x14ac:dyDescent="0.25">
      <c r="A2535" s="65">
        <v>46100</v>
      </c>
      <c r="B2535" s="66">
        <v>23002.15</v>
      </c>
      <c r="C2535" s="66">
        <v>23197.75</v>
      </c>
      <c r="D2535" s="66">
        <v>23378.7</v>
      </c>
      <c r="E2535" s="66">
        <v>22930.35</v>
      </c>
      <c r="F2535" s="67" t="s">
        <v>218</v>
      </c>
      <c r="G2535" s="68">
        <v>-3.2599999999999997E-2</v>
      </c>
      <c r="H2535" s="64"/>
    </row>
    <row r="2536" spans="1:8" x14ac:dyDescent="0.25">
      <c r="A2536" s="65">
        <v>46101</v>
      </c>
      <c r="B2536" s="66">
        <v>23114.5</v>
      </c>
      <c r="C2536" s="66">
        <v>23110.15</v>
      </c>
      <c r="D2536" s="66">
        <v>23345.15</v>
      </c>
      <c r="E2536" s="66">
        <v>23067.599999999999</v>
      </c>
      <c r="F2536" s="67" t="s">
        <v>217</v>
      </c>
      <c r="G2536" s="68">
        <v>4.8999999999999998E-3</v>
      </c>
      <c r="H2536" s="64"/>
    </row>
    <row r="2537" spans="1:8" x14ac:dyDescent="0.25">
      <c r="A2537" s="65">
        <v>46104</v>
      </c>
      <c r="B2537" s="66">
        <v>22512.65</v>
      </c>
      <c r="C2537" s="66">
        <v>22824.35</v>
      </c>
      <c r="D2537" s="66">
        <v>22851.7</v>
      </c>
      <c r="E2537" s="66">
        <v>22471.25</v>
      </c>
      <c r="F2537" s="67" t="s">
        <v>216</v>
      </c>
      <c r="G2537" s="68">
        <v>-2.5999999999999999E-2</v>
      </c>
      <c r="H2537" s="64"/>
    </row>
    <row r="2538" spans="1:8" x14ac:dyDescent="0.25">
      <c r="A2538" s="65">
        <v>46105</v>
      </c>
      <c r="B2538" s="66">
        <v>22912.400000000001</v>
      </c>
      <c r="C2538" s="66">
        <v>22878.45</v>
      </c>
      <c r="D2538" s="66">
        <v>23057.3</v>
      </c>
      <c r="E2538" s="66">
        <v>22624.2</v>
      </c>
      <c r="F2538" s="67" t="s">
        <v>215</v>
      </c>
      <c r="G2538" s="68">
        <v>1.78E-2</v>
      </c>
      <c r="H2538" s="64"/>
    </row>
    <row r="2539" spans="1:8" x14ac:dyDescent="0.25">
      <c r="A2539" s="65">
        <v>46106</v>
      </c>
      <c r="B2539" s="66">
        <v>23306.45</v>
      </c>
      <c r="C2539" s="66">
        <v>23064.400000000001</v>
      </c>
      <c r="D2539" s="66">
        <v>23465.35</v>
      </c>
      <c r="E2539" s="66">
        <v>23063.200000000001</v>
      </c>
      <c r="F2539" s="67" t="s">
        <v>214</v>
      </c>
      <c r="G2539" s="68">
        <v>1.72E-2</v>
      </c>
      <c r="H2539" s="64"/>
    </row>
    <row r="2540" spans="1:8" x14ac:dyDescent="0.25">
      <c r="A2540" s="65">
        <v>46108</v>
      </c>
      <c r="B2540" s="66">
        <v>22819.599999999999</v>
      </c>
      <c r="C2540" s="66">
        <v>23173.55</v>
      </c>
      <c r="D2540" s="66">
        <v>23186.1</v>
      </c>
      <c r="E2540" s="66">
        <v>22804.55</v>
      </c>
      <c r="F2540" s="67" t="s">
        <v>213</v>
      </c>
      <c r="G2540" s="68">
        <v>-2.0899999999999998E-2</v>
      </c>
      <c r="H2540" s="64"/>
    </row>
    <row r="2541" spans="1:8" x14ac:dyDescent="0.25">
      <c r="A2541" s="65">
        <v>46111</v>
      </c>
      <c r="B2541" s="66">
        <v>22331.4</v>
      </c>
      <c r="C2541" s="66">
        <v>22549.65</v>
      </c>
      <c r="D2541" s="66">
        <v>22714.1</v>
      </c>
      <c r="E2541" s="66">
        <v>22283.85</v>
      </c>
      <c r="F2541" s="67" t="s">
        <v>212</v>
      </c>
      <c r="G2541" s="68">
        <v>-2.1399999999999999E-2</v>
      </c>
      <c r="H2541" s="64"/>
    </row>
    <row r="2542" spans="1:8" x14ac:dyDescent="0.25">
      <c r="A2542" s="65">
        <v>46113</v>
      </c>
      <c r="B2542" s="66">
        <v>22679.4</v>
      </c>
      <c r="C2542" s="66">
        <v>22899</v>
      </c>
      <c r="D2542" s="66">
        <v>22941.3</v>
      </c>
      <c r="E2542" s="66">
        <v>22618.6</v>
      </c>
      <c r="F2542" s="67" t="s">
        <v>211</v>
      </c>
      <c r="G2542" s="68">
        <v>1.5599999999999999E-2</v>
      </c>
      <c r="H2542" s="64"/>
    </row>
    <row r="2543" spans="1:8" x14ac:dyDescent="0.25">
      <c r="A2543" s="65">
        <v>46114</v>
      </c>
      <c r="B2543" s="66">
        <v>22713.1</v>
      </c>
      <c r="C2543" s="66">
        <v>22383.4</v>
      </c>
      <c r="D2543" s="66">
        <v>22782.3</v>
      </c>
      <c r="E2543" s="66">
        <v>22182.55</v>
      </c>
      <c r="F2543" s="67" t="s">
        <v>210</v>
      </c>
      <c r="G2543" s="68">
        <v>1.5E-3</v>
      </c>
      <c r="H2543" s="64"/>
    </row>
    <row r="2544" spans="1:8" x14ac:dyDescent="0.25">
      <c r="A2544" s="65">
        <v>46118</v>
      </c>
      <c r="B2544" s="66">
        <v>22968.25</v>
      </c>
      <c r="C2544" s="66">
        <v>22780.3</v>
      </c>
      <c r="D2544" s="66">
        <v>22998.35</v>
      </c>
      <c r="E2544" s="66">
        <v>22542.95</v>
      </c>
      <c r="F2544" s="67" t="s">
        <v>209</v>
      </c>
      <c r="G2544" s="68">
        <v>1.12E-2</v>
      </c>
      <c r="H2544" s="64"/>
    </row>
    <row r="2545" spans="1:8" x14ac:dyDescent="0.25">
      <c r="A2545" s="65">
        <v>46119</v>
      </c>
      <c r="B2545" s="66">
        <v>23123.65</v>
      </c>
      <c r="C2545" s="66">
        <v>22838.7</v>
      </c>
      <c r="D2545" s="66">
        <v>23153.85</v>
      </c>
      <c r="E2545" s="66">
        <v>22719.3</v>
      </c>
      <c r="F2545" s="67" t="s">
        <v>208</v>
      </c>
      <c r="G2545" s="68">
        <v>6.7999999999999996E-3</v>
      </c>
      <c r="H2545" s="64"/>
    </row>
    <row r="2546" spans="1:8" x14ac:dyDescent="0.25">
      <c r="A2546" s="65">
        <v>46120</v>
      </c>
      <c r="B2546" s="66">
        <v>23997.35</v>
      </c>
      <c r="C2546" s="66">
        <v>23855.15</v>
      </c>
      <c r="D2546" s="66">
        <v>24025.15</v>
      </c>
      <c r="E2546" s="66">
        <v>23828.5</v>
      </c>
      <c r="F2546" s="67" t="s">
        <v>207</v>
      </c>
      <c r="G2546" s="68">
        <v>3.78E-2</v>
      </c>
      <c r="H2546" s="64"/>
    </row>
    <row r="2547" spans="1:8" x14ac:dyDescent="0.25">
      <c r="A2547" s="65">
        <v>46121</v>
      </c>
      <c r="B2547" s="66">
        <v>23775.1</v>
      </c>
      <c r="C2547" s="66">
        <v>23909.05</v>
      </c>
      <c r="D2547" s="66">
        <v>23990.75</v>
      </c>
      <c r="E2547" s="66">
        <v>23682.799999999999</v>
      </c>
      <c r="F2547" s="67" t="s">
        <v>206</v>
      </c>
      <c r="G2547" s="68">
        <v>-9.2999999999999992E-3</v>
      </c>
      <c r="H2547" s="64"/>
    </row>
    <row r="2548" spans="1:8" x14ac:dyDescent="0.25">
      <c r="A2548" s="65">
        <v>46122</v>
      </c>
      <c r="B2548" s="66">
        <v>24050.6</v>
      </c>
      <c r="C2548" s="66">
        <v>23880.55</v>
      </c>
      <c r="D2548" s="66">
        <v>24074.05</v>
      </c>
      <c r="E2548" s="66">
        <v>23856.35</v>
      </c>
      <c r="F2548" s="67" t="s">
        <v>205</v>
      </c>
      <c r="G2548" s="68">
        <v>1.1599999999999999E-2</v>
      </c>
      <c r="H2548" s="64"/>
    </row>
    <row r="2549" spans="1:8" x14ac:dyDescent="0.25">
      <c r="A2549" s="65">
        <v>46125</v>
      </c>
      <c r="B2549" s="66">
        <v>23842.65</v>
      </c>
      <c r="C2549" s="66">
        <v>23589.599999999999</v>
      </c>
      <c r="D2549" s="66">
        <v>23907.4</v>
      </c>
      <c r="E2549" s="66">
        <v>23555.599999999999</v>
      </c>
      <c r="F2549" s="67" t="s">
        <v>204</v>
      </c>
      <c r="G2549" s="68">
        <v>-8.6E-3</v>
      </c>
      <c r="H2549" s="64"/>
    </row>
    <row r="2550" spans="1:8" x14ac:dyDescent="0.25">
      <c r="A2550" s="65">
        <v>46127</v>
      </c>
      <c r="B2550" s="66">
        <v>24231.3</v>
      </c>
      <c r="C2550" s="66">
        <v>24163.8</v>
      </c>
      <c r="D2550" s="66">
        <v>24280.9</v>
      </c>
      <c r="E2550" s="66">
        <v>24145.8</v>
      </c>
      <c r="F2550" s="67" t="s">
        <v>203</v>
      </c>
      <c r="G2550" s="68">
        <v>1.6299999999999999E-2</v>
      </c>
      <c r="H2550" s="64"/>
    </row>
    <row r="2551" spans="1:8" x14ac:dyDescent="0.25">
      <c r="A2551" s="65">
        <v>46128</v>
      </c>
      <c r="B2551" s="66">
        <v>24196.75</v>
      </c>
      <c r="C2551" s="66">
        <v>24385.200000000001</v>
      </c>
      <c r="D2551" s="66">
        <v>24400.95</v>
      </c>
      <c r="E2551" s="66">
        <v>24102.799999999999</v>
      </c>
      <c r="F2551" s="67" t="s">
        <v>202</v>
      </c>
      <c r="G2551" s="68">
        <v>-1.4E-3</v>
      </c>
      <c r="H2551" s="64"/>
    </row>
    <row r="2552" spans="1:8" x14ac:dyDescent="0.25">
      <c r="A2552" s="65">
        <v>46129</v>
      </c>
      <c r="B2552" s="66">
        <v>24353.55</v>
      </c>
      <c r="C2552" s="66">
        <v>24165.9</v>
      </c>
      <c r="D2552" s="66">
        <v>24371.9</v>
      </c>
      <c r="E2552" s="66">
        <v>24096.05</v>
      </c>
      <c r="F2552" s="67" t="s">
        <v>201</v>
      </c>
      <c r="G2552" s="68">
        <v>6.4999999999999997E-3</v>
      </c>
      <c r="H2552" s="64"/>
    </row>
    <row r="2553" spans="1:8" x14ac:dyDescent="0.25">
      <c r="A2553" s="65">
        <v>46132</v>
      </c>
      <c r="B2553" s="66">
        <v>24364.85</v>
      </c>
      <c r="C2553" s="66">
        <v>24391.5</v>
      </c>
      <c r="D2553" s="66">
        <v>24480.65</v>
      </c>
      <c r="E2553" s="66">
        <v>24241.25</v>
      </c>
      <c r="F2553" s="67" t="s">
        <v>200</v>
      </c>
      <c r="G2553" s="68">
        <v>5.0000000000000001E-4</v>
      </c>
      <c r="H2553" s="64"/>
    </row>
    <row r="2554" spans="1:8" x14ac:dyDescent="0.25">
      <c r="A2554" s="65">
        <v>46133</v>
      </c>
      <c r="B2554" s="66">
        <v>24576.6</v>
      </c>
      <c r="C2554" s="66">
        <v>24374.55</v>
      </c>
      <c r="D2554" s="66">
        <v>24601.7</v>
      </c>
      <c r="E2554" s="66">
        <v>24354.9</v>
      </c>
      <c r="F2554" s="67" t="s">
        <v>199</v>
      </c>
      <c r="G2554" s="68">
        <v>8.6999999999999994E-3</v>
      </c>
      <c r="H2554" s="64"/>
    </row>
    <row r="2555" spans="1:8" x14ac:dyDescent="0.25">
      <c r="A2555" s="65">
        <v>46134</v>
      </c>
      <c r="B2555" s="66">
        <v>24378.1</v>
      </c>
      <c r="C2555" s="66">
        <v>24470.85</v>
      </c>
      <c r="D2555" s="66">
        <v>24515.95</v>
      </c>
      <c r="E2555" s="66">
        <v>24352.9</v>
      </c>
      <c r="F2555" s="67" t="s">
        <v>198</v>
      </c>
      <c r="G2555" s="68">
        <v>-8.0999999999999996E-3</v>
      </c>
      <c r="H2555" s="64"/>
    </row>
    <row r="2556" spans="1:8" x14ac:dyDescent="0.25">
      <c r="A2556" s="65">
        <v>46135</v>
      </c>
      <c r="B2556" s="66">
        <v>24173.05</v>
      </c>
      <c r="C2556" s="66">
        <v>24202.35</v>
      </c>
      <c r="D2556" s="66">
        <v>24310.2</v>
      </c>
      <c r="E2556" s="66">
        <v>24134.799999999999</v>
      </c>
      <c r="F2556" s="67" t="s">
        <v>197</v>
      </c>
      <c r="G2556" s="68">
        <v>-8.3999999999999995E-3</v>
      </c>
      <c r="H2556" s="64"/>
    </row>
    <row r="2557" spans="1:8" x14ac:dyDescent="0.25">
      <c r="A2557" s="65">
        <v>46136</v>
      </c>
      <c r="B2557" s="66">
        <v>23897.95</v>
      </c>
      <c r="C2557" s="66">
        <v>24100.55</v>
      </c>
      <c r="D2557" s="66">
        <v>24206</v>
      </c>
      <c r="E2557" s="66">
        <v>23813.65</v>
      </c>
      <c r="F2557" s="67" t="s">
        <v>196</v>
      </c>
      <c r="G2557" s="68">
        <v>-1.14E-2</v>
      </c>
      <c r="H2557" s="64"/>
    </row>
    <row r="2558" spans="1:8" x14ac:dyDescent="0.25">
      <c r="A2558" s="65">
        <v>46139</v>
      </c>
      <c r="B2558" s="66">
        <v>24092.7</v>
      </c>
      <c r="C2558" s="66">
        <v>23945.45</v>
      </c>
      <c r="D2558" s="66">
        <v>24130.7</v>
      </c>
      <c r="E2558" s="66">
        <v>23936.2</v>
      </c>
      <c r="F2558" s="67" t="s">
        <v>195</v>
      </c>
      <c r="G2558" s="68">
        <v>8.0999999999999996E-3</v>
      </c>
      <c r="H2558" s="64"/>
    </row>
    <row r="2559" spans="1:8" x14ac:dyDescent="0.25">
      <c r="A2559" s="65">
        <v>46140</v>
      </c>
      <c r="B2559" s="66">
        <v>23995.7</v>
      </c>
      <c r="C2559" s="66">
        <v>24049.9</v>
      </c>
      <c r="D2559" s="66">
        <v>24181.8</v>
      </c>
      <c r="E2559" s="66">
        <v>23957.05</v>
      </c>
      <c r="F2559" s="67" t="s">
        <v>194</v>
      </c>
      <c r="G2559" s="68">
        <v>-4.0000000000000001E-3</v>
      </c>
      <c r="H2559" s="64"/>
    </row>
    <row r="2560" spans="1:8" x14ac:dyDescent="0.25">
      <c r="A2560" s="65">
        <v>46141</v>
      </c>
      <c r="B2560" s="66">
        <v>24177.65</v>
      </c>
      <c r="C2560" s="66">
        <v>24096.9</v>
      </c>
      <c r="D2560" s="66">
        <v>24334.7</v>
      </c>
      <c r="E2560" s="66">
        <v>24059.95</v>
      </c>
      <c r="F2560" s="67" t="s">
        <v>193</v>
      </c>
      <c r="G2560" s="68">
        <v>7.6E-3</v>
      </c>
      <c r="H2560" s="64"/>
    </row>
    <row r="2561" spans="1:8" x14ac:dyDescent="0.25">
      <c r="A2561" s="65">
        <v>46142</v>
      </c>
      <c r="B2561" s="66">
        <v>23997.55</v>
      </c>
      <c r="C2561" s="66">
        <v>23996.95</v>
      </c>
      <c r="D2561" s="66">
        <v>24087.45</v>
      </c>
      <c r="E2561" s="66">
        <v>23796.85</v>
      </c>
      <c r="F2561" s="67" t="s">
        <v>192</v>
      </c>
      <c r="G2561" s="68">
        <v>-7.4000000000000003E-3</v>
      </c>
      <c r="H2561" s="64"/>
    </row>
    <row r="2562" spans="1:8" x14ac:dyDescent="0.25">
      <c r="A2562" s="65">
        <v>46146</v>
      </c>
      <c r="B2562" s="66">
        <v>24119.3</v>
      </c>
      <c r="C2562" s="66">
        <v>24063.55</v>
      </c>
      <c r="D2562" s="66">
        <v>24290.2</v>
      </c>
      <c r="E2562" s="66">
        <v>24004.75</v>
      </c>
      <c r="F2562" s="67" t="s">
        <v>191</v>
      </c>
      <c r="G2562" s="68">
        <v>5.1000000000000004E-3</v>
      </c>
      <c r="H2562" s="64"/>
    </row>
    <row r="2563" spans="1:8" x14ac:dyDescent="0.25">
      <c r="A2563" s="65">
        <v>46147</v>
      </c>
      <c r="B2563" s="66">
        <v>24032.799999999999</v>
      </c>
      <c r="C2563" s="66">
        <v>24052.6</v>
      </c>
      <c r="D2563" s="66">
        <v>24081.7</v>
      </c>
      <c r="E2563" s="66">
        <v>23882.05</v>
      </c>
      <c r="F2563" s="67" t="s">
        <v>190</v>
      </c>
      <c r="G2563" s="68">
        <v>-3.5999999999999999E-3</v>
      </c>
      <c r="H2563" s="64"/>
    </row>
    <row r="2564" spans="1:8" x14ac:dyDescent="0.25">
      <c r="A2564" s="65">
        <v>46148</v>
      </c>
      <c r="B2564" s="66">
        <v>24330.95</v>
      </c>
      <c r="C2564" s="66">
        <v>24171</v>
      </c>
      <c r="D2564" s="66">
        <v>24356.5</v>
      </c>
      <c r="E2564" s="66">
        <v>23997.9</v>
      </c>
      <c r="F2564" s="67" t="s">
        <v>189</v>
      </c>
      <c r="G2564" s="68">
        <v>1.24E-2</v>
      </c>
      <c r="H2564" s="64"/>
    </row>
    <row r="2565" spans="1:8" x14ac:dyDescent="0.25">
      <c r="A2565" s="65">
        <v>46149</v>
      </c>
      <c r="B2565" s="66">
        <v>24326.65</v>
      </c>
      <c r="C2565" s="66">
        <v>24398.5</v>
      </c>
      <c r="D2565" s="66">
        <v>24482.1</v>
      </c>
      <c r="E2565" s="66">
        <v>24284</v>
      </c>
      <c r="F2565" s="67" t="s">
        <v>188</v>
      </c>
      <c r="G2565" s="68">
        <v>-2.0000000000000001E-4</v>
      </c>
      <c r="H2565" s="64"/>
    </row>
    <row r="2566" spans="1:8" x14ac:dyDescent="0.25">
      <c r="A2566" s="65">
        <v>46150</v>
      </c>
      <c r="B2566" s="66">
        <v>24176.15</v>
      </c>
      <c r="C2566" s="66">
        <v>24233.65</v>
      </c>
      <c r="D2566" s="66">
        <v>24253.8</v>
      </c>
      <c r="E2566" s="66">
        <v>24126.65</v>
      </c>
      <c r="F2566" s="67" t="s">
        <v>187</v>
      </c>
      <c r="G2566" s="68">
        <v>-6.1999999999999998E-3</v>
      </c>
      <c r="H2566" s="64"/>
    </row>
    <row r="2567" spans="1:8" x14ac:dyDescent="0.25">
      <c r="A2567" s="65">
        <v>46153</v>
      </c>
      <c r="B2567" s="66">
        <v>23815.85</v>
      </c>
      <c r="C2567" s="66">
        <v>23970.1</v>
      </c>
      <c r="D2567" s="66">
        <v>23997.45</v>
      </c>
      <c r="E2567" s="66">
        <v>23799.1</v>
      </c>
      <c r="F2567" s="67" t="s">
        <v>186</v>
      </c>
      <c r="G2567" s="68">
        <v>-1.49E-2</v>
      </c>
      <c r="H2567" s="64"/>
    </row>
    <row r="2568" spans="1:8" x14ac:dyDescent="0.25">
      <c r="A2568" s="65">
        <v>46154</v>
      </c>
      <c r="B2568" s="66">
        <v>23379.55</v>
      </c>
      <c r="C2568" s="66">
        <v>23722.6</v>
      </c>
      <c r="D2568" s="66">
        <v>23757.55</v>
      </c>
      <c r="E2568" s="66">
        <v>23348.400000000001</v>
      </c>
      <c r="F2568" s="67" t="s">
        <v>185</v>
      </c>
      <c r="G2568" s="68">
        <v>-1.83E-2</v>
      </c>
      <c r="H2568" s="64"/>
    </row>
    <row r="2569" spans="1:8" x14ac:dyDescent="0.25">
      <c r="A2569" s="65">
        <v>46155</v>
      </c>
      <c r="B2569" s="66">
        <v>23412.6</v>
      </c>
      <c r="C2569" s="66">
        <v>23362.45</v>
      </c>
      <c r="D2569" s="66">
        <v>23582.95</v>
      </c>
      <c r="E2569" s="66">
        <v>23262.55</v>
      </c>
      <c r="F2569" s="67" t="s">
        <v>184</v>
      </c>
      <c r="G2569" s="68">
        <v>1.4E-3</v>
      </c>
      <c r="H2569" s="64"/>
    </row>
    <row r="2570" spans="1:8" x14ac:dyDescent="0.25">
      <c r="A2570" s="65">
        <v>46156</v>
      </c>
      <c r="B2570" s="66">
        <v>23689.599999999999</v>
      </c>
      <c r="C2570" s="66">
        <v>23530.25</v>
      </c>
      <c r="D2570" s="66">
        <v>23777.200000000001</v>
      </c>
      <c r="E2570" s="66">
        <v>23426.55</v>
      </c>
      <c r="F2570" s="67" t="s">
        <v>183</v>
      </c>
      <c r="G2570" s="68">
        <v>1.18E-2</v>
      </c>
      <c r="H2570" s="64"/>
    </row>
    <row r="2571" spans="1:8" x14ac:dyDescent="0.25">
      <c r="A2571" s="65">
        <v>46157</v>
      </c>
      <c r="B2571" s="66">
        <v>23643.5</v>
      </c>
      <c r="C2571" s="66">
        <v>23731.4</v>
      </c>
      <c r="D2571" s="66">
        <v>23839.3</v>
      </c>
      <c r="E2571" s="66">
        <v>23610.3</v>
      </c>
      <c r="F2571" s="67" t="s">
        <v>182</v>
      </c>
      <c r="G2571" s="68">
        <v>-1.9E-3</v>
      </c>
      <c r="H2571" s="64"/>
    </row>
    <row r="2572" spans="1:8" x14ac:dyDescent="0.25">
      <c r="A2572" s="65">
        <v>46160</v>
      </c>
      <c r="B2572" s="66">
        <v>23649.95</v>
      </c>
      <c r="C2572" s="66">
        <v>23482.2</v>
      </c>
      <c r="D2572" s="66">
        <v>23695.65</v>
      </c>
      <c r="E2572" s="66">
        <v>23317.1</v>
      </c>
      <c r="F2572" s="67" t="s">
        <v>181</v>
      </c>
      <c r="G2572" s="68">
        <v>2.9999999999999997E-4</v>
      </c>
      <c r="H2572" s="64"/>
    </row>
    <row r="2573" spans="1:8" x14ac:dyDescent="0.25">
      <c r="A2573" s="65">
        <v>46161</v>
      </c>
      <c r="B2573" s="66">
        <v>23618</v>
      </c>
      <c r="C2573" s="66">
        <v>23675.3</v>
      </c>
      <c r="D2573" s="66">
        <v>23782.3</v>
      </c>
      <c r="E2573" s="66">
        <v>23587.200000000001</v>
      </c>
      <c r="F2573" s="67" t="s">
        <v>180</v>
      </c>
      <c r="G2573" s="68">
        <v>-1.4E-3</v>
      </c>
      <c r="H2573" s="64"/>
    </row>
    <row r="2574" spans="1:8" x14ac:dyDescent="0.25">
      <c r="A2574" s="65">
        <v>46162</v>
      </c>
      <c r="B2574" s="66">
        <v>23659</v>
      </c>
      <c r="C2574" s="66">
        <v>23457.25</v>
      </c>
      <c r="D2574" s="66">
        <v>23690.9</v>
      </c>
      <c r="E2574" s="66">
        <v>23397.3</v>
      </c>
      <c r="F2574" s="67" t="s">
        <v>179</v>
      </c>
      <c r="G2574" s="68">
        <v>1.6999999999999999E-3</v>
      </c>
      <c r="H2574" s="64"/>
    </row>
    <row r="2575" spans="1:8" x14ac:dyDescent="0.25">
      <c r="A2575" s="65">
        <v>46163</v>
      </c>
      <c r="B2575" s="66">
        <v>23654.7</v>
      </c>
      <c r="C2575" s="66">
        <v>23830.05</v>
      </c>
      <c r="D2575" s="66">
        <v>23859.9</v>
      </c>
      <c r="E2575" s="66">
        <v>23596.6</v>
      </c>
      <c r="F2575" s="67" t="s">
        <v>178</v>
      </c>
      <c r="G2575" s="68">
        <v>-2.0000000000000001E-4</v>
      </c>
      <c r="H2575" s="64"/>
    </row>
    <row r="2576" spans="1:8" x14ac:dyDescent="0.25">
      <c r="A2576" s="65">
        <v>46164</v>
      </c>
      <c r="B2576" s="66">
        <v>23719.3</v>
      </c>
      <c r="C2576" s="66">
        <v>23671.200000000001</v>
      </c>
      <c r="D2576" s="66">
        <v>23835.65</v>
      </c>
      <c r="E2576" s="66">
        <v>23671</v>
      </c>
      <c r="F2576" s="67" t="s">
        <v>177</v>
      </c>
      <c r="G2576" s="68">
        <v>2.7000000000000001E-3</v>
      </c>
      <c r="H2576" s="64"/>
    </row>
    <row r="2577" spans="1:8" x14ac:dyDescent="0.25">
      <c r="A2577" s="65">
        <v>46167</v>
      </c>
      <c r="B2577" s="66">
        <v>24031.7</v>
      </c>
      <c r="C2577" s="66">
        <v>23940.25</v>
      </c>
      <c r="D2577" s="66">
        <v>24054.45</v>
      </c>
      <c r="E2577" s="66">
        <v>23922.85</v>
      </c>
      <c r="F2577" s="67" t="s">
        <v>176</v>
      </c>
      <c r="G2577" s="68">
        <v>1.32E-2</v>
      </c>
      <c r="H2577" s="64"/>
    </row>
    <row r="2578" spans="1:8" x14ac:dyDescent="0.25">
      <c r="A2578" s="65">
        <v>46168</v>
      </c>
      <c r="B2578" s="66">
        <v>23913.7</v>
      </c>
      <c r="C2578" s="66">
        <v>24004.1</v>
      </c>
      <c r="D2578" s="66">
        <v>24089.8</v>
      </c>
      <c r="E2578" s="66">
        <v>23885.45</v>
      </c>
      <c r="F2578" s="67" t="s">
        <v>175</v>
      </c>
      <c r="G2578" s="68">
        <v>-4.8999999999999998E-3</v>
      </c>
      <c r="H2578" s="64"/>
    </row>
    <row r="2579" spans="1:8" x14ac:dyDescent="0.25">
      <c r="A2579" s="65">
        <v>46169</v>
      </c>
      <c r="B2579" s="66">
        <v>23907.15</v>
      </c>
      <c r="C2579" s="66">
        <v>23880.35</v>
      </c>
      <c r="D2579" s="66">
        <v>23983.200000000001</v>
      </c>
      <c r="E2579" s="66">
        <v>23858.25</v>
      </c>
      <c r="F2579" s="67" t="s">
        <v>174</v>
      </c>
      <c r="G2579" s="68">
        <v>-2.9999999999999997E-4</v>
      </c>
      <c r="H2579" s="64"/>
    </row>
    <row r="2580" spans="1:8" x14ac:dyDescent="0.25">
      <c r="A2580" s="65">
        <v>46171</v>
      </c>
      <c r="B2580" s="66">
        <v>23547.75</v>
      </c>
      <c r="C2580" s="66">
        <v>23902.15</v>
      </c>
      <c r="D2580" s="66">
        <v>24002.799999999999</v>
      </c>
      <c r="E2580" s="66">
        <v>23484.75</v>
      </c>
      <c r="F2580" s="67" t="s">
        <v>173</v>
      </c>
      <c r="G2580" s="68">
        <v>-1.4999999999999999E-2</v>
      </c>
      <c r="H2580" s="64"/>
    </row>
    <row r="2581" spans="1:8" x14ac:dyDescent="0.25">
      <c r="A2581" s="65">
        <v>46174</v>
      </c>
      <c r="B2581" s="66">
        <v>23382.6</v>
      </c>
      <c r="C2581" s="66">
        <v>23654.5</v>
      </c>
      <c r="D2581" s="66">
        <v>23733.7</v>
      </c>
      <c r="E2581" s="66">
        <v>23357.95</v>
      </c>
      <c r="F2581" s="67" t="s">
        <v>172</v>
      </c>
      <c r="G2581" s="68">
        <v>-7.0000000000000001E-3</v>
      </c>
      <c r="H2581" s="64"/>
    </row>
    <row r="2582" spans="1:8" x14ac:dyDescent="0.25">
      <c r="A2582" s="65">
        <v>46175</v>
      </c>
      <c r="B2582" s="66">
        <v>23483.55</v>
      </c>
      <c r="C2582" s="66">
        <v>23229.15</v>
      </c>
      <c r="D2582" s="66">
        <v>23556.95</v>
      </c>
      <c r="E2582" s="66">
        <v>23229.15</v>
      </c>
      <c r="F2582" s="67" t="s">
        <v>171</v>
      </c>
      <c r="G2582" s="68">
        <v>4.3E-3</v>
      </c>
      <c r="H2582" s="64"/>
    </row>
    <row r="2583" spans="1:8" x14ac:dyDescent="0.25">
      <c r="A2583" s="65">
        <v>46176</v>
      </c>
      <c r="B2583" s="66">
        <v>23405.599999999999</v>
      </c>
      <c r="C2583" s="66">
        <v>23415.95</v>
      </c>
      <c r="D2583" s="66">
        <v>23459.65</v>
      </c>
      <c r="E2583" s="66">
        <v>23151.5</v>
      </c>
      <c r="F2583" s="67" t="s">
        <v>170</v>
      </c>
      <c r="G2583" s="68">
        <v>-3.3E-3</v>
      </c>
      <c r="H2583" s="64"/>
    </row>
    <row r="2584" spans="1:8" x14ac:dyDescent="0.25">
      <c r="A2584" s="65">
        <v>46177</v>
      </c>
      <c r="B2584" s="66">
        <v>23416.55</v>
      </c>
      <c r="C2584" s="66">
        <v>23282.45</v>
      </c>
      <c r="D2584" s="66">
        <v>23465.3</v>
      </c>
      <c r="E2584" s="66">
        <v>23247.3</v>
      </c>
      <c r="F2584" s="67" t="s">
        <v>169</v>
      </c>
      <c r="G2584" s="68">
        <v>5.0000000000000001E-4</v>
      </c>
      <c r="H2584" s="64"/>
    </row>
    <row r="2585" spans="1:8" x14ac:dyDescent="0.25">
      <c r="A2585" s="65">
        <v>46178</v>
      </c>
      <c r="B2585" s="66">
        <v>23366.7</v>
      </c>
      <c r="C2585" s="66">
        <v>23478.95</v>
      </c>
      <c r="D2585" s="66">
        <v>23516.35</v>
      </c>
      <c r="E2585" s="66">
        <v>23282.65</v>
      </c>
      <c r="F2585" s="67" t="s">
        <v>168</v>
      </c>
      <c r="G2585" s="68">
        <v>-2.0999999999999999E-3</v>
      </c>
      <c r="H2585" s="64"/>
    </row>
    <row r="2586" spans="1:8" x14ac:dyDescent="0.25">
      <c r="A2586" s="65">
        <v>46181</v>
      </c>
      <c r="B2586" s="66">
        <v>23123</v>
      </c>
      <c r="C2586" s="66">
        <v>23080.7</v>
      </c>
      <c r="D2586" s="66">
        <v>23267.3</v>
      </c>
      <c r="E2586" s="66">
        <v>23070.15</v>
      </c>
      <c r="F2586" s="67" t="s">
        <v>167</v>
      </c>
      <c r="G2586" s="68">
        <v>-1.04E-2</v>
      </c>
      <c r="H2586" s="64"/>
    </row>
    <row r="2587" spans="1:8" x14ac:dyDescent="0.25">
      <c r="A2587" s="65">
        <v>46182</v>
      </c>
      <c r="B2587" s="66">
        <v>23242.1</v>
      </c>
      <c r="C2587" s="66">
        <v>23259.05</v>
      </c>
      <c r="D2587" s="66">
        <v>23279.4</v>
      </c>
      <c r="E2587" s="66">
        <v>23104.45</v>
      </c>
      <c r="F2587" s="67" t="s">
        <v>166</v>
      </c>
      <c r="G2587" s="68">
        <v>5.1999999999999998E-3</v>
      </c>
      <c r="H2587" s="64"/>
    </row>
    <row r="2588" spans="1:8" x14ac:dyDescent="0.25">
      <c r="A2588" s="65">
        <v>46183</v>
      </c>
      <c r="B2588" s="66">
        <v>23214.95</v>
      </c>
      <c r="C2588" s="66">
        <v>23233.95</v>
      </c>
      <c r="D2588" s="66">
        <v>23425.35</v>
      </c>
      <c r="E2588" s="66">
        <v>23184.6</v>
      </c>
      <c r="F2588" s="67" t="s">
        <v>165</v>
      </c>
      <c r="G2588" s="68">
        <v>-1.1999999999999999E-3</v>
      </c>
      <c r="H2588" s="64"/>
    </row>
    <row r="2589" spans="1:8" x14ac:dyDescent="0.25">
      <c r="A2589" s="65">
        <v>46184</v>
      </c>
      <c r="B2589" s="66">
        <v>23161.599999999999</v>
      </c>
      <c r="C2589" s="66">
        <v>23104.400000000001</v>
      </c>
      <c r="D2589" s="66">
        <v>23327.45</v>
      </c>
      <c r="E2589" s="66">
        <v>23072.05</v>
      </c>
      <c r="F2589" s="67" t="s">
        <v>164</v>
      </c>
      <c r="G2589" s="68">
        <v>-2.3E-3</v>
      </c>
      <c r="H2589" s="64"/>
    </row>
    <row r="2590" spans="1:8" x14ac:dyDescent="0.25">
      <c r="A2590" s="65">
        <v>46185</v>
      </c>
      <c r="B2590" s="66">
        <v>23622.9</v>
      </c>
      <c r="C2590" s="66">
        <v>23412.55</v>
      </c>
      <c r="D2590" s="66">
        <v>23645.35</v>
      </c>
      <c r="E2590" s="66">
        <v>23313.9</v>
      </c>
      <c r="F2590" s="67" t="s">
        <v>163</v>
      </c>
      <c r="G2590" s="68">
        <v>1.9900000000000001E-2</v>
      </c>
      <c r="H2590" s="64"/>
    </row>
    <row r="2591" spans="1:8" x14ac:dyDescent="0.25">
      <c r="A2591" s="65">
        <v>46188</v>
      </c>
      <c r="B2591" s="66">
        <v>23853.9</v>
      </c>
      <c r="C2591" s="66">
        <v>23984.85</v>
      </c>
      <c r="D2591" s="66">
        <v>24011.4</v>
      </c>
      <c r="E2591" s="66">
        <v>23817.8</v>
      </c>
      <c r="F2591" s="67" t="s">
        <v>162</v>
      </c>
      <c r="G2591" s="68">
        <v>9.7999999999999997E-3</v>
      </c>
      <c r="H2591" s="64"/>
    </row>
    <row r="2592" spans="1:8" x14ac:dyDescent="0.25">
      <c r="A2592" s="65">
        <v>46189</v>
      </c>
      <c r="B2592" s="66">
        <v>23989.15</v>
      </c>
      <c r="C2592" s="66">
        <v>23923.9</v>
      </c>
      <c r="D2592" s="66">
        <v>24002.6</v>
      </c>
      <c r="E2592" s="66">
        <v>23888.2</v>
      </c>
      <c r="F2592" s="67" t="s">
        <v>161</v>
      </c>
      <c r="G2592" s="68">
        <v>5.7000000000000002E-3</v>
      </c>
      <c r="H2592" s="64"/>
    </row>
    <row r="2593" spans="1:8" x14ac:dyDescent="0.25">
      <c r="A2593" s="65">
        <v>46190</v>
      </c>
      <c r="B2593" s="66">
        <v>24085.7</v>
      </c>
      <c r="C2593" s="66">
        <v>24044.5</v>
      </c>
      <c r="D2593" s="66">
        <v>24108.2</v>
      </c>
      <c r="E2593" s="66">
        <v>23969.7</v>
      </c>
      <c r="F2593" s="67" t="s">
        <v>160</v>
      </c>
      <c r="G2593" s="68">
        <v>4.0000000000000001E-3</v>
      </c>
      <c r="H2593" s="64"/>
    </row>
    <row r="2594" spans="1:8" x14ac:dyDescent="0.25">
      <c r="A2594" s="65">
        <v>46191</v>
      </c>
      <c r="B2594" s="66">
        <v>24168</v>
      </c>
      <c r="C2594" s="66">
        <v>24073.8</v>
      </c>
      <c r="D2594" s="66">
        <v>24189.25</v>
      </c>
      <c r="E2594" s="66">
        <v>24036.95</v>
      </c>
      <c r="F2594" s="67" t="s">
        <v>159</v>
      </c>
      <c r="G2594" s="68">
        <v>3.3999999999999998E-3</v>
      </c>
      <c r="H2594" s="64"/>
    </row>
    <row r="2595" spans="1:8" x14ac:dyDescent="0.25">
      <c r="A2595" s="65">
        <v>46192</v>
      </c>
      <c r="B2595" s="66">
        <v>24013.1</v>
      </c>
      <c r="C2595" s="66">
        <v>23991.200000000001</v>
      </c>
      <c r="D2595" s="66">
        <v>24047.200000000001</v>
      </c>
      <c r="E2595" s="66">
        <v>23901.9</v>
      </c>
      <c r="F2595" s="67" t="s">
        <v>158</v>
      </c>
      <c r="G2595" s="68">
        <v>-6.4000000000000003E-3</v>
      </c>
      <c r="H2595" s="64"/>
    </row>
    <row r="2596" spans="1:8" x14ac:dyDescent="0.25">
      <c r="A2596" s="65">
        <v>46195</v>
      </c>
      <c r="B2596" s="66">
        <v>24102.9</v>
      </c>
      <c r="C2596" s="66">
        <v>24106.6</v>
      </c>
      <c r="D2596" s="66">
        <v>24168.05</v>
      </c>
      <c r="E2596" s="66">
        <v>24073.15</v>
      </c>
      <c r="F2596" s="67" t="s">
        <v>157</v>
      </c>
      <c r="G2596" s="68">
        <v>3.7000000000000002E-3</v>
      </c>
      <c r="H2596" s="64"/>
    </row>
    <row r="2597" spans="1:8" x14ac:dyDescent="0.25">
      <c r="A2597" s="65">
        <v>46196</v>
      </c>
      <c r="B2597" s="66">
        <v>23824.1</v>
      </c>
      <c r="C2597" s="66">
        <v>24071.3</v>
      </c>
      <c r="D2597" s="66">
        <v>24135.5</v>
      </c>
      <c r="E2597" s="66">
        <v>23784.95</v>
      </c>
      <c r="F2597" s="67" t="s">
        <v>156</v>
      </c>
      <c r="G2597" s="68">
        <v>-1.1599999999999999E-2</v>
      </c>
      <c r="H2597" s="64"/>
    </row>
    <row r="2598" spans="1:8" x14ac:dyDescent="0.25">
      <c r="A2598" s="65">
        <v>46197</v>
      </c>
      <c r="B2598" s="66">
        <v>24021.65</v>
      </c>
      <c r="C2598" s="66">
        <v>23795.8</v>
      </c>
      <c r="D2598" s="66">
        <v>24090.05</v>
      </c>
      <c r="E2598" s="66">
        <v>23789.25</v>
      </c>
      <c r="F2598" s="67" t="s">
        <v>155</v>
      </c>
      <c r="G2598" s="68">
        <v>8.3000000000000001E-3</v>
      </c>
      <c r="H2598" s="64"/>
    </row>
    <row r="2599" spans="1:8" x14ac:dyDescent="0.25">
      <c r="A2599" s="65">
        <v>46198</v>
      </c>
      <c r="B2599" s="66">
        <v>24056</v>
      </c>
      <c r="C2599" s="66">
        <v>24125.85</v>
      </c>
      <c r="D2599" s="66">
        <v>24261.599999999999</v>
      </c>
      <c r="E2599" s="66">
        <v>24039</v>
      </c>
      <c r="F2599" s="67" t="s">
        <v>154</v>
      </c>
      <c r="G2599" s="68">
        <v>1.4E-3</v>
      </c>
      <c r="H2599" s="64"/>
    </row>
    <row r="2600" spans="1:8" x14ac:dyDescent="0.25">
      <c r="A2600" s="65">
        <v>46202</v>
      </c>
      <c r="B2600" s="66">
        <v>23946.25</v>
      </c>
      <c r="C2600" s="66">
        <v>24061.75</v>
      </c>
      <c r="D2600" s="66">
        <v>24120</v>
      </c>
      <c r="E2600" s="66">
        <v>23924.55</v>
      </c>
      <c r="F2600" s="67" t="s">
        <v>153</v>
      </c>
      <c r="G2600" s="68">
        <v>-4.5999999999999999E-3</v>
      </c>
      <c r="H2600" s="64"/>
    </row>
    <row r="2601" spans="1:8" x14ac:dyDescent="0.25">
      <c r="A2601" s="65">
        <v>46203</v>
      </c>
      <c r="B2601" s="66">
        <v>23865.75</v>
      </c>
      <c r="C2601" s="66">
        <v>24032.05</v>
      </c>
      <c r="D2601" s="66">
        <v>24035.55</v>
      </c>
      <c r="E2601" s="66">
        <v>23829.200000000001</v>
      </c>
      <c r="F2601" s="67" t="s">
        <v>152</v>
      </c>
      <c r="G2601" s="68">
        <v>-3.3999999999999998E-3</v>
      </c>
      <c r="H2601" s="64"/>
    </row>
    <row r="2602" spans="1:8" x14ac:dyDescent="0.25">
      <c r="A2602" s="65">
        <v>46204</v>
      </c>
      <c r="B2602" s="66">
        <v>24005.85</v>
      </c>
      <c r="C2602" s="66">
        <v>23897.65</v>
      </c>
      <c r="D2602" s="66">
        <v>24049.9</v>
      </c>
      <c r="E2602" s="66">
        <v>23895.1</v>
      </c>
      <c r="F2602" s="67" t="s">
        <v>151</v>
      </c>
      <c r="G2602" s="68">
        <v>5.8999999999999999E-3</v>
      </c>
      <c r="H2602" s="64"/>
    </row>
    <row r="2603" spans="1:8" x14ac:dyDescent="0.25">
      <c r="A2603" s="65">
        <v>46205</v>
      </c>
      <c r="B2603" s="66">
        <v>24175.7</v>
      </c>
      <c r="C2603" s="66">
        <v>24062.2</v>
      </c>
      <c r="D2603" s="66">
        <v>24194.55</v>
      </c>
      <c r="E2603" s="66">
        <v>24058.799999999999</v>
      </c>
      <c r="F2603" s="67" t="s">
        <v>150</v>
      </c>
      <c r="G2603" s="68">
        <v>7.1000000000000004E-3</v>
      </c>
      <c r="H2603" s="64"/>
    </row>
    <row r="2604" spans="1:8" x14ac:dyDescent="0.25">
      <c r="A2604" s="65">
        <v>46206</v>
      </c>
      <c r="B2604" s="66">
        <v>24270.85</v>
      </c>
      <c r="C2604" s="66">
        <v>24375.65</v>
      </c>
      <c r="D2604" s="66">
        <v>24378.15</v>
      </c>
      <c r="E2604" s="66">
        <v>24252.35</v>
      </c>
      <c r="F2604" s="67" t="s">
        <v>149</v>
      </c>
      <c r="G2604" s="68">
        <v>3.8999999999999998E-3</v>
      </c>
      <c r="H2604" s="64"/>
    </row>
    <row r="2605" spans="1:8" x14ac:dyDescent="0.25">
      <c r="A2605" s="65">
        <v>46209</v>
      </c>
      <c r="B2605" s="66">
        <v>24430.35</v>
      </c>
      <c r="C2605" s="66">
        <v>24306.85</v>
      </c>
      <c r="D2605" s="66">
        <v>24458.65</v>
      </c>
      <c r="E2605" s="66">
        <v>24287.1</v>
      </c>
      <c r="F2605" s="67" t="s">
        <v>148</v>
      </c>
      <c r="G2605" s="68">
        <v>6.6E-3</v>
      </c>
      <c r="H2605" s="64"/>
    </row>
    <row r="2606" spans="1:8" x14ac:dyDescent="0.25">
      <c r="A2606" s="65">
        <v>46210</v>
      </c>
      <c r="B2606" s="66">
        <v>24398.7</v>
      </c>
      <c r="C2606" s="66">
        <v>24464.45</v>
      </c>
      <c r="D2606" s="66">
        <v>24530.9</v>
      </c>
      <c r="E2606" s="66">
        <v>24348.95</v>
      </c>
      <c r="F2606" s="67" t="s">
        <v>147</v>
      </c>
      <c r="G2606" s="68">
        <v>-1.2999999999999999E-3</v>
      </c>
      <c r="H2606" s="64"/>
    </row>
    <row r="2607" spans="1:8" x14ac:dyDescent="0.25">
      <c r="A2607" s="65">
        <v>46211</v>
      </c>
      <c r="B2607" s="66">
        <v>23882.05</v>
      </c>
      <c r="C2607" s="66">
        <v>24259.55</v>
      </c>
      <c r="D2607" s="66">
        <v>24300</v>
      </c>
      <c r="E2607" s="66">
        <v>23805.200000000001</v>
      </c>
      <c r="F2607" s="67" t="s">
        <v>146</v>
      </c>
      <c r="G2607" s="68">
        <v>-2.12E-2</v>
      </c>
      <c r="H2607" s="64"/>
    </row>
    <row r="2608" spans="1:8" x14ac:dyDescent="0.25">
      <c r="A2608" s="65">
        <v>46212</v>
      </c>
      <c r="B2608" s="66">
        <v>23962.799999999999</v>
      </c>
      <c r="C2608" s="66">
        <v>23928.95</v>
      </c>
      <c r="D2608" s="66">
        <v>24134.7</v>
      </c>
      <c r="E2608" s="66">
        <v>23925.7</v>
      </c>
      <c r="F2608" s="67" t="s">
        <v>145</v>
      </c>
      <c r="G2608" s="68">
        <v>3.3999999999999998E-3</v>
      </c>
      <c r="H2608" s="64"/>
    </row>
    <row r="2609" spans="1:8" x14ac:dyDescent="0.25">
      <c r="A2609" s="65">
        <v>46213</v>
      </c>
      <c r="B2609" s="66">
        <v>24206.9</v>
      </c>
      <c r="C2609" s="66">
        <v>24124.7</v>
      </c>
      <c r="D2609" s="66">
        <v>24228.45</v>
      </c>
      <c r="E2609" s="66">
        <v>24120.35</v>
      </c>
      <c r="F2609" s="67" t="s">
        <v>144</v>
      </c>
      <c r="G2609" s="68">
        <v>1.0200000000000001E-2</v>
      </c>
      <c r="H2609" s="64"/>
    </row>
    <row r="2610" spans="1:8" x14ac:dyDescent="0.25">
      <c r="A2610" s="65">
        <v>46216</v>
      </c>
      <c r="B2610" s="66">
        <v>24211</v>
      </c>
      <c r="C2610" s="66">
        <v>24039.4</v>
      </c>
      <c r="D2610" s="66">
        <v>24259.8</v>
      </c>
      <c r="E2610" s="66">
        <v>24000.2</v>
      </c>
      <c r="F2610" s="67" t="s">
        <v>143</v>
      </c>
      <c r="G2610" s="68">
        <v>2.0000000000000001E-4</v>
      </c>
      <c r="H2610" s="64"/>
    </row>
    <row r="2611" spans="1:8" x14ac:dyDescent="0.25">
      <c r="A2611" s="65">
        <v>46217</v>
      </c>
      <c r="B2611" s="66">
        <v>24052.05</v>
      </c>
      <c r="C2611" s="66">
        <v>24068</v>
      </c>
      <c r="D2611" s="66">
        <v>24157.1</v>
      </c>
      <c r="E2611" s="66">
        <v>24023.7</v>
      </c>
      <c r="F2611" s="67" t="s">
        <v>142</v>
      </c>
      <c r="G2611" s="68">
        <v>-6.6E-3</v>
      </c>
      <c r="H2611" s="64"/>
    </row>
    <row r="2612" spans="1:8" x14ac:dyDescent="0.25">
      <c r="A2612" s="65">
        <v>46218</v>
      </c>
      <c r="B2612" s="66">
        <v>24078.5</v>
      </c>
      <c r="C2612" s="66">
        <v>24085.85</v>
      </c>
      <c r="D2612" s="66">
        <v>24220.35</v>
      </c>
      <c r="E2612" s="66">
        <v>24010.55</v>
      </c>
      <c r="F2612" s="67" t="s">
        <v>141</v>
      </c>
      <c r="G2612" s="68">
        <v>1.1000000000000001E-3</v>
      </c>
      <c r="H2612" s="64"/>
    </row>
    <row r="2613" spans="1:8" x14ac:dyDescent="0.25">
      <c r="A2613" s="65">
        <v>46219</v>
      </c>
      <c r="B2613" s="66">
        <v>24072.75</v>
      </c>
      <c r="C2613" s="66">
        <v>24142.1</v>
      </c>
      <c r="D2613" s="66">
        <v>24186.5</v>
      </c>
      <c r="E2613" s="66">
        <v>24050</v>
      </c>
      <c r="F2613" s="67" t="s">
        <v>140</v>
      </c>
      <c r="G2613" s="68">
        <v>-2.0000000000000001E-4</v>
      </c>
      <c r="H2613" s="64"/>
    </row>
    <row r="2614" spans="1:8" x14ac:dyDescent="0.25">
      <c r="A2614" s="65">
        <v>46220</v>
      </c>
      <c r="B2614" s="66">
        <v>24334.3</v>
      </c>
      <c r="C2614" s="66">
        <v>24127.599999999999</v>
      </c>
      <c r="D2614" s="66">
        <v>24367.3</v>
      </c>
      <c r="E2614" s="66">
        <v>24099.05</v>
      </c>
      <c r="F2614" s="67" t="s">
        <v>139</v>
      </c>
      <c r="G2614" s="68">
        <v>1.09E-2</v>
      </c>
      <c r="H2614" s="64"/>
    </row>
    <row r="2615" spans="1:8" x14ac:dyDescent="0.25">
      <c r="A2615" s="65">
        <v>46223</v>
      </c>
      <c r="B2615" s="66">
        <v>24238.5</v>
      </c>
      <c r="C2615" s="66">
        <v>24190.05</v>
      </c>
      <c r="D2615" s="66">
        <v>24266.1</v>
      </c>
      <c r="E2615" s="66">
        <v>24135.85</v>
      </c>
      <c r="F2615" s="67" t="s">
        <v>138</v>
      </c>
      <c r="G2615" s="68">
        <v>-3.8999999999999998E-3</v>
      </c>
      <c r="H2615" s="64"/>
    </row>
    <row r="2616" spans="1:8" x14ac:dyDescent="0.25">
      <c r="A2616" s="65">
        <v>46224</v>
      </c>
      <c r="B2616" s="66">
        <v>24187.7</v>
      </c>
      <c r="C2616" s="66">
        <v>24216.05</v>
      </c>
      <c r="D2616" s="66">
        <v>24262.2</v>
      </c>
      <c r="E2616" s="66">
        <v>24135.65</v>
      </c>
      <c r="F2616" s="67" t="s">
        <v>137</v>
      </c>
      <c r="G2616" s="68">
        <v>-2.0999999999999999E-3</v>
      </c>
      <c r="H2616" s="64"/>
    </row>
    <row r="2617" spans="1:8" x14ac:dyDescent="0.25">
      <c r="A2617" s="65">
        <v>46225</v>
      </c>
      <c r="B2617" s="66">
        <v>23996.25</v>
      </c>
      <c r="C2617" s="66">
        <v>24150.45</v>
      </c>
      <c r="D2617" s="66">
        <v>24166.3</v>
      </c>
      <c r="E2617" s="66">
        <v>23961.4</v>
      </c>
      <c r="F2617" s="67" t="s">
        <v>136</v>
      </c>
      <c r="G2617" s="68">
        <v>-7.9000000000000008E-3</v>
      </c>
      <c r="H2617" s="64"/>
    </row>
    <row r="2618" spans="1:8" x14ac:dyDescent="0.25">
      <c r="A2618" s="65">
        <v>46226</v>
      </c>
      <c r="B2618" s="66">
        <v>23869.599999999999</v>
      </c>
      <c r="C2618" s="66">
        <v>23904.799999999999</v>
      </c>
      <c r="D2618" s="66">
        <v>23990.75</v>
      </c>
      <c r="E2618" s="66">
        <v>23807.200000000001</v>
      </c>
      <c r="F2618" s="67" t="s">
        <v>135</v>
      </c>
      <c r="G2618" s="68">
        <v>-5.3E-3</v>
      </c>
      <c r="H2618" s="64"/>
    </row>
    <row r="2619" spans="1:8" x14ac:dyDescent="0.25">
      <c r="A2619" s="65">
        <v>46227</v>
      </c>
      <c r="B2619" s="66">
        <v>23767.45</v>
      </c>
      <c r="C2619" s="66">
        <v>23666.35</v>
      </c>
      <c r="D2619" s="66">
        <v>23823.599999999999</v>
      </c>
      <c r="E2619" s="66">
        <v>23606.3</v>
      </c>
      <c r="F2619" s="67" t="s">
        <v>134</v>
      </c>
      <c r="G2619" s="68">
        <v>-4.3E-3</v>
      </c>
      <c r="H2619" s="64"/>
    </row>
    <row r="2620" spans="1:8" x14ac:dyDescent="0.25">
      <c r="A2620" s="65">
        <v>46230</v>
      </c>
      <c r="B2620" s="66">
        <v>23995.95</v>
      </c>
      <c r="C2620" s="66">
        <v>23928.400000000001</v>
      </c>
      <c r="D2620" s="66">
        <v>24011.599999999999</v>
      </c>
      <c r="E2620" s="66">
        <v>23891.55</v>
      </c>
      <c r="F2620" s="67" t="s">
        <v>133</v>
      </c>
      <c r="G2620" s="68">
        <v>9.5999999999999992E-3</v>
      </c>
      <c r="H2620" s="64"/>
    </row>
    <row r="2621" spans="1:8" x14ac:dyDescent="0.25">
      <c r="A2621" s="65">
        <v>46231</v>
      </c>
      <c r="B2621" s="66">
        <v>23985.35</v>
      </c>
      <c r="C2621" s="66">
        <v>23971.25</v>
      </c>
      <c r="D2621" s="66">
        <v>24041.15</v>
      </c>
      <c r="E2621" s="66">
        <v>23954.6</v>
      </c>
      <c r="F2621" s="67" t="s">
        <v>132</v>
      </c>
      <c r="G2621" s="68">
        <v>-4.0000000000000002E-4</v>
      </c>
      <c r="H2621" s="64"/>
    </row>
    <row r="2622" spans="1:8" x14ac:dyDescent="0.25">
      <c r="A2622" s="65">
        <v>46232</v>
      </c>
      <c r="B2622" s="66">
        <v>24250.2</v>
      </c>
      <c r="C2622" s="66">
        <v>24176.65</v>
      </c>
      <c r="D2622" s="66">
        <v>24283.55</v>
      </c>
      <c r="E2622" s="66">
        <v>24136.75</v>
      </c>
      <c r="F2622" s="67" t="s">
        <v>131</v>
      </c>
      <c r="G2622" s="68">
        <v>1.0999999999999999E-2</v>
      </c>
      <c r="H2622" s="64"/>
    </row>
    <row r="2623" spans="1:8" x14ac:dyDescent="0.25">
      <c r="A2623" s="65">
        <v>46233</v>
      </c>
      <c r="B2623" s="66">
        <v>24317.15</v>
      </c>
      <c r="C2623" s="66">
        <v>24249.55</v>
      </c>
      <c r="D2623" s="66">
        <v>24342.95</v>
      </c>
      <c r="E2623" s="66">
        <v>24187.1</v>
      </c>
      <c r="F2623" s="67" t="s">
        <v>130</v>
      </c>
      <c r="G2623" s="68">
        <v>2.8E-3</v>
      </c>
      <c r="H2623" s="64"/>
    </row>
    <row r="2624" spans="1:8" x14ac:dyDescent="0.25">
      <c r="A2624" s="65">
        <v>46234</v>
      </c>
      <c r="B2624" s="66">
        <v>24383.599999999999</v>
      </c>
      <c r="C2624" s="66">
        <v>24361.45</v>
      </c>
      <c r="D2624" s="66">
        <v>24429.4</v>
      </c>
      <c r="E2624" s="66">
        <v>24299.7</v>
      </c>
      <c r="F2624" s="67" t="s">
        <v>129</v>
      </c>
      <c r="G2624" s="68">
        <v>2.7000000000000001E-3</v>
      </c>
      <c r="H2624" s="64"/>
    </row>
    <row r="2625" spans="1:8" x14ac:dyDescent="0.25">
      <c r="A2625" s="65">
        <v>46237</v>
      </c>
      <c r="B2625" s="66">
        <v>24774.3</v>
      </c>
      <c r="C2625" s="66">
        <v>24572.7</v>
      </c>
      <c r="D2625" s="66">
        <v>24774.3</v>
      </c>
      <c r="E2625" s="66">
        <v>24515.15</v>
      </c>
      <c r="F2625" s="67" t="s">
        <v>128</v>
      </c>
      <c r="G2625" s="68">
        <v>1.6E-2</v>
      </c>
      <c r="H2625" s="64"/>
    </row>
    <row r="2626" spans="1:8" x14ac:dyDescent="0.25">
      <c r="A2626" s="65">
        <v>46238</v>
      </c>
      <c r="B2626" s="66">
        <v>24614.9</v>
      </c>
      <c r="C2626" s="66">
        <v>24703.9</v>
      </c>
      <c r="D2626" s="66">
        <v>24703.9</v>
      </c>
      <c r="E2626" s="66">
        <v>24427.95</v>
      </c>
      <c r="F2626" s="67" t="s">
        <v>127</v>
      </c>
      <c r="G2626" s="68">
        <v>-6.4000000000000003E-3</v>
      </c>
      <c r="H2626" s="64"/>
    </row>
    <row r="2627" spans="1:8" x14ac:dyDescent="0.25">
      <c r="A2627" s="65">
        <v>46239</v>
      </c>
      <c r="B2627" s="66">
        <v>24624.65</v>
      </c>
      <c r="C2627" s="66">
        <v>24669.200000000001</v>
      </c>
      <c r="D2627" s="66">
        <v>24677.599999999999</v>
      </c>
      <c r="E2627" s="66">
        <v>24497.95</v>
      </c>
      <c r="F2627" s="67" t="s">
        <v>126</v>
      </c>
      <c r="G2627" s="68">
        <v>4.0000000000000002E-4</v>
      </c>
      <c r="H2627" s="64"/>
    </row>
    <row r="2628" spans="1:8" x14ac:dyDescent="0.25">
      <c r="A2628" s="65">
        <v>46240</v>
      </c>
      <c r="B2628" s="66">
        <v>24636</v>
      </c>
      <c r="C2628" s="66">
        <v>24641</v>
      </c>
      <c r="D2628" s="66">
        <v>24677.05</v>
      </c>
      <c r="E2628" s="66">
        <v>24604.15</v>
      </c>
      <c r="F2628" s="67" t="s">
        <v>125</v>
      </c>
      <c r="G2628" s="68">
        <v>5.0000000000000001E-4</v>
      </c>
      <c r="H2628" s="64"/>
    </row>
    <row r="2629" spans="1:8" x14ac:dyDescent="0.25">
      <c r="A2629" s="65">
        <v>46241</v>
      </c>
      <c r="B2629" s="66">
        <v>24570.65</v>
      </c>
      <c r="C2629" s="66">
        <v>24538.9</v>
      </c>
      <c r="D2629" s="66">
        <v>24630.400000000001</v>
      </c>
      <c r="E2629" s="66">
        <v>24522.75</v>
      </c>
      <c r="F2629" s="67" t="s">
        <v>124</v>
      </c>
      <c r="G2629" s="68">
        <v>-2.7000000000000001E-3</v>
      </c>
      <c r="H2629" s="64"/>
    </row>
    <row r="2630" spans="1:8" x14ac:dyDescent="0.25">
      <c r="A2630" s="65">
        <v>46244</v>
      </c>
      <c r="B2630" s="66">
        <v>24583.8</v>
      </c>
      <c r="C2630" s="66">
        <v>24581.25</v>
      </c>
      <c r="D2630" s="66">
        <v>24620.95</v>
      </c>
      <c r="E2630" s="66">
        <v>24511.1</v>
      </c>
      <c r="F2630" s="67" t="s">
        <v>123</v>
      </c>
      <c r="G2630" s="68">
        <v>5.0000000000000001E-4</v>
      </c>
      <c r="H2630" s="64"/>
    </row>
    <row r="2631" spans="1:8" x14ac:dyDescent="0.25">
      <c r="A2631" s="65">
        <v>46245</v>
      </c>
      <c r="B2631" s="66">
        <v>24471.7</v>
      </c>
      <c r="C2631" s="66">
        <v>24575.1</v>
      </c>
      <c r="D2631" s="66">
        <v>24576.85</v>
      </c>
      <c r="E2631" s="66">
        <v>24429.25</v>
      </c>
      <c r="F2631" s="67" t="s">
        <v>122</v>
      </c>
      <c r="G2631" s="68">
        <v>-4.5999999999999999E-3</v>
      </c>
      <c r="H2631" s="64"/>
    </row>
    <row r="2632" spans="1:8" x14ac:dyDescent="0.25">
      <c r="A2632" s="65">
        <v>46246</v>
      </c>
      <c r="B2632" s="66">
        <v>24435.95</v>
      </c>
      <c r="C2632" s="66">
        <v>24472.45</v>
      </c>
      <c r="D2632" s="66">
        <v>24473.3</v>
      </c>
      <c r="E2632" s="66">
        <v>24265.95</v>
      </c>
      <c r="F2632" s="67" t="s">
        <v>121</v>
      </c>
      <c r="G2632" s="68">
        <v>-1.5E-3</v>
      </c>
      <c r="H2632" s="64"/>
    </row>
    <row r="2633" spans="1:8" x14ac:dyDescent="0.25">
      <c r="A2633" s="65">
        <v>46247</v>
      </c>
      <c r="B2633" s="66">
        <v>24395.85</v>
      </c>
      <c r="C2633" s="66">
        <v>24431.599999999999</v>
      </c>
      <c r="D2633" s="66">
        <v>24431.599999999999</v>
      </c>
      <c r="E2633" s="66">
        <v>24311.4</v>
      </c>
      <c r="F2633" s="67" t="s">
        <v>120</v>
      </c>
      <c r="G2633" s="68">
        <v>-1.6000000000000001E-3</v>
      </c>
      <c r="H2633" s="64"/>
    </row>
    <row r="2634" spans="1:8" x14ac:dyDescent="0.25">
      <c r="A2634" s="65">
        <v>46248</v>
      </c>
      <c r="B2634" s="66">
        <v>24366</v>
      </c>
      <c r="C2634" s="66">
        <v>24361.9</v>
      </c>
      <c r="D2634" s="66">
        <v>24405.200000000001</v>
      </c>
      <c r="E2634" s="66">
        <v>24296.799999999999</v>
      </c>
      <c r="F2634" s="67" t="s">
        <v>119</v>
      </c>
      <c r="G2634" s="68">
        <v>-1.1999999999999999E-3</v>
      </c>
      <c r="H2634" s="64"/>
    </row>
    <row r="2635" spans="1:8" x14ac:dyDescent="0.25">
      <c r="A2635" s="65">
        <v>46251</v>
      </c>
      <c r="B2635" s="66">
        <v>24287.65</v>
      </c>
      <c r="C2635" s="66">
        <v>24343.45</v>
      </c>
      <c r="D2635" s="66">
        <v>24360.1</v>
      </c>
      <c r="E2635" s="66">
        <v>24226.95</v>
      </c>
      <c r="F2635" s="67" t="s">
        <v>118</v>
      </c>
      <c r="G2635" s="68">
        <v>-3.2000000000000002E-3</v>
      </c>
      <c r="H2635" s="64"/>
    </row>
    <row r="2636" spans="1:8" x14ac:dyDescent="0.25">
      <c r="A2636" s="65">
        <v>46252</v>
      </c>
      <c r="B2636" s="66">
        <v>24154.9</v>
      </c>
      <c r="C2636" s="66">
        <v>24223.85</v>
      </c>
      <c r="D2636" s="66">
        <v>24269.65</v>
      </c>
      <c r="E2636" s="66">
        <v>24154.9</v>
      </c>
      <c r="F2636" s="67" t="s">
        <v>117</v>
      </c>
      <c r="G2636" s="68">
        <v>-5.4999999999999997E-3</v>
      </c>
      <c r="H2636" s="64"/>
    </row>
    <row r="2637" spans="1:8" x14ac:dyDescent="0.25">
      <c r="A2637" s="65">
        <v>46253</v>
      </c>
      <c r="B2637" s="66">
        <v>24078.3</v>
      </c>
      <c r="C2637" s="66">
        <v>24152.05</v>
      </c>
      <c r="D2637" s="66">
        <v>24172.85</v>
      </c>
      <c r="E2637" s="66">
        <v>24025.65</v>
      </c>
      <c r="F2637" s="67" t="s">
        <v>116</v>
      </c>
      <c r="G2637" s="68">
        <v>-3.2000000000000002E-3</v>
      </c>
      <c r="H2637" s="64"/>
    </row>
    <row r="2638" spans="1:8" x14ac:dyDescent="0.25">
      <c r="A2638" s="65">
        <v>46254</v>
      </c>
      <c r="B2638" s="66">
        <v>24231.85</v>
      </c>
      <c r="C2638" s="66">
        <v>24225.45</v>
      </c>
      <c r="D2638" s="66">
        <v>24265.15</v>
      </c>
      <c r="E2638" s="66">
        <v>24184.55</v>
      </c>
      <c r="F2638" s="67" t="s">
        <v>115</v>
      </c>
      <c r="G2638" s="68">
        <v>6.4000000000000003E-3</v>
      </c>
      <c r="H2638" s="64"/>
    </row>
    <row r="2639" spans="1:8" x14ac:dyDescent="0.25">
      <c r="A2639" s="65">
        <v>46255</v>
      </c>
      <c r="B2639" s="66">
        <v>24252</v>
      </c>
      <c r="C2639" s="66">
        <v>24284.05</v>
      </c>
      <c r="D2639" s="66">
        <v>24284.05</v>
      </c>
      <c r="E2639" s="66">
        <v>24206.799999999999</v>
      </c>
      <c r="F2639" s="67" t="s">
        <v>114</v>
      </c>
      <c r="G2639" s="68">
        <v>8.0000000000000004E-4</v>
      </c>
      <c r="H2639" s="64"/>
    </row>
    <row r="2640" spans="1:8" x14ac:dyDescent="0.25">
      <c r="A2640" s="65">
        <v>46258</v>
      </c>
      <c r="B2640" s="66">
        <v>24219.05</v>
      </c>
      <c r="C2640" s="66">
        <v>24285.05</v>
      </c>
      <c r="D2640" s="66">
        <v>24313</v>
      </c>
      <c r="E2640" s="66">
        <v>24144.3</v>
      </c>
      <c r="F2640" s="67" t="s">
        <v>113</v>
      </c>
      <c r="G2640" s="68">
        <v>-1.4E-3</v>
      </c>
      <c r="H2640" s="64"/>
    </row>
    <row r="2641" spans="1:8" x14ac:dyDescent="0.25">
      <c r="A2641" s="65">
        <v>46259</v>
      </c>
      <c r="B2641" s="66">
        <v>24334.55</v>
      </c>
      <c r="C2641" s="66">
        <v>24175.75</v>
      </c>
      <c r="D2641" s="66">
        <v>24334.55</v>
      </c>
      <c r="E2641" s="66">
        <v>24115.45</v>
      </c>
      <c r="F2641" s="67" t="s">
        <v>112</v>
      </c>
      <c r="G2641" s="68">
        <v>4.7999999999999996E-3</v>
      </c>
      <c r="H2641" s="64"/>
    </row>
    <row r="2642" spans="1:8" x14ac:dyDescent="0.25">
      <c r="A2642" s="65">
        <v>46260</v>
      </c>
      <c r="B2642" s="66">
        <v>24207.75</v>
      </c>
      <c r="C2642" s="66">
        <v>24341.95</v>
      </c>
      <c r="D2642" s="66">
        <v>24378.6</v>
      </c>
      <c r="E2642" s="66">
        <v>24207.75</v>
      </c>
      <c r="F2642" s="67" t="s">
        <v>111</v>
      </c>
      <c r="G2642" s="68">
        <v>-5.1999999999999998E-3</v>
      </c>
      <c r="H2642" s="64"/>
    </row>
    <row r="2643" spans="1:8" x14ac:dyDescent="0.25">
      <c r="A2643" s="65">
        <v>46261</v>
      </c>
      <c r="B2643" s="66">
        <v>24090.85</v>
      </c>
      <c r="C2643" s="66">
        <v>24277.599999999999</v>
      </c>
      <c r="D2643" s="66">
        <v>24297.45</v>
      </c>
      <c r="E2643" s="66">
        <v>24090.85</v>
      </c>
      <c r="F2643" s="67" t="s">
        <v>110</v>
      </c>
      <c r="G2643" s="68">
        <v>-4.7999999999999996E-3</v>
      </c>
      <c r="H2643" s="64"/>
    </row>
    <row r="2644" spans="1:8" x14ac:dyDescent="0.25">
      <c r="A2644" s="65">
        <v>46262</v>
      </c>
      <c r="B2644" s="66">
        <v>24175.65</v>
      </c>
      <c r="C2644" s="66">
        <v>24122.6</v>
      </c>
      <c r="D2644" s="66">
        <v>24188.3</v>
      </c>
      <c r="E2644" s="66">
        <v>24076.85</v>
      </c>
      <c r="F2644" s="67" t="s">
        <v>109</v>
      </c>
      <c r="G2644" s="68">
        <v>3.5000000000000001E-3</v>
      </c>
      <c r="H2644" s="64"/>
    </row>
    <row r="2645" spans="1:8" x14ac:dyDescent="0.25">
      <c r="A2645" s="65">
        <v>46265</v>
      </c>
      <c r="B2645" s="66">
        <v>24080.400000000001</v>
      </c>
      <c r="C2645" s="66">
        <v>24117.55</v>
      </c>
      <c r="D2645" s="66">
        <v>24128.7</v>
      </c>
      <c r="E2645" s="66">
        <v>23993.599999999999</v>
      </c>
      <c r="F2645" s="67" t="s">
        <v>108</v>
      </c>
      <c r="G2645" s="68">
        <v>-3.8999999999999998E-3</v>
      </c>
      <c r="H2645" s="64"/>
    </row>
    <row r="2646" spans="1:8" x14ac:dyDescent="0.25">
      <c r="A2646" s="65">
        <v>46266</v>
      </c>
      <c r="B2646" s="66">
        <v>24055.8</v>
      </c>
      <c r="C2646" s="66">
        <v>24077.55</v>
      </c>
      <c r="D2646" s="66">
        <v>24143.15</v>
      </c>
      <c r="E2646" s="66">
        <v>23952.55</v>
      </c>
      <c r="F2646" s="67" t="s">
        <v>107</v>
      </c>
      <c r="G2646" s="68">
        <v>-1E-3</v>
      </c>
      <c r="H2646" s="64"/>
    </row>
  </sheetData>
  <sortState xmlns:xlrd2="http://schemas.microsoft.com/office/spreadsheetml/2017/richdata2" ref="AQ4:AW132">
    <sortCondition ref="AQ4:AQ132"/>
  </sortState>
  <mergeCells count="11">
    <mergeCell ref="AO1:AW1"/>
    <mergeCell ref="AQ26:AV26"/>
    <mergeCell ref="AQ2:AW2"/>
    <mergeCell ref="AU3:AW3"/>
    <mergeCell ref="AR3:AT3"/>
    <mergeCell ref="AQ3:AQ4"/>
    <mergeCell ref="A1:G2"/>
    <mergeCell ref="H1:O2"/>
    <mergeCell ref="P1:W2"/>
    <mergeCell ref="X1:AF2"/>
    <mergeCell ref="AG1:AN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130"/>
  <sheetViews>
    <sheetView showGridLines="0" topLeftCell="Y1" zoomScale="74" workbookViewId="0">
      <pane ySplit="1" topLeftCell="A2" activePane="bottomLeft" state="frozen"/>
      <selection pane="bottomLeft" activeCell="AA3" sqref="AA3"/>
    </sheetView>
  </sheetViews>
  <sheetFormatPr defaultRowHeight="14.4" x14ac:dyDescent="0.3"/>
  <cols>
    <col min="1" max="1" width="11.6640625" bestFit="1" customWidth="1"/>
    <col min="2" max="2" width="10.21875" bestFit="1" customWidth="1"/>
    <col min="3" max="3" width="17.77734375" bestFit="1" customWidth="1"/>
    <col min="4" max="24" width="17" customWidth="1"/>
    <col min="25" max="25" width="19" bestFit="1" customWidth="1"/>
    <col min="27" max="27" width="255.77734375" bestFit="1" customWidth="1"/>
  </cols>
  <sheetData>
    <row r="1" spans="1:32" ht="52.05" customHeight="1" x14ac:dyDescent="0.3">
      <c r="A1" s="9" t="s">
        <v>33</v>
      </c>
      <c r="B1" s="9" t="s">
        <v>34</v>
      </c>
      <c r="C1" s="9" t="s">
        <v>35</v>
      </c>
      <c r="D1" s="9" t="s">
        <v>36</v>
      </c>
      <c r="E1" s="9" t="s">
        <v>37</v>
      </c>
      <c r="F1" s="9" t="s">
        <v>38</v>
      </c>
      <c r="G1" s="9" t="s">
        <v>39</v>
      </c>
      <c r="H1" s="9" t="s">
        <v>2842</v>
      </c>
      <c r="I1" s="9" t="s">
        <v>40</v>
      </c>
      <c r="J1" s="9" t="s">
        <v>41</v>
      </c>
      <c r="K1" s="9" t="s">
        <v>42</v>
      </c>
      <c r="L1" s="9" t="s">
        <v>43</v>
      </c>
      <c r="M1" s="9" t="s">
        <v>44</v>
      </c>
      <c r="N1" s="9" t="s">
        <v>45</v>
      </c>
      <c r="O1" s="9" t="s">
        <v>46</v>
      </c>
      <c r="P1" s="9" t="s">
        <v>47</v>
      </c>
      <c r="Q1" s="9" t="s">
        <v>48</v>
      </c>
      <c r="R1" s="9" t="s">
        <v>49</v>
      </c>
      <c r="S1" s="9" t="s">
        <v>50</v>
      </c>
      <c r="T1" s="9" t="s">
        <v>51</v>
      </c>
      <c r="U1" s="9" t="s">
        <v>52</v>
      </c>
      <c r="V1" s="9" t="s">
        <v>53</v>
      </c>
      <c r="W1" s="9" t="s">
        <v>54</v>
      </c>
      <c r="X1" s="9" t="s">
        <v>55</v>
      </c>
      <c r="AA1" s="84" t="s">
        <v>2881</v>
      </c>
    </row>
    <row r="2" spans="1:32" ht="17.399999999999999" x14ac:dyDescent="0.3">
      <c r="A2" s="10">
        <v>42370</v>
      </c>
      <c r="B2" s="5">
        <v>67.333200000000005</v>
      </c>
      <c r="C2" s="6">
        <v>1117.6400000000001</v>
      </c>
      <c r="D2" s="6">
        <v>75852</v>
      </c>
      <c r="E2" s="7">
        <v>7563.55</v>
      </c>
      <c r="F2" s="7">
        <v>1940.24</v>
      </c>
      <c r="G2" s="8">
        <v>66.5</v>
      </c>
      <c r="H2" s="19">
        <f>F2*B2</f>
        <v>130642.56796800002</v>
      </c>
      <c r="I2" s="11"/>
      <c r="J2" s="11"/>
      <c r="K2" s="11"/>
      <c r="L2" s="11"/>
      <c r="M2" s="11"/>
      <c r="N2" s="11"/>
      <c r="O2" s="11"/>
      <c r="P2" s="20"/>
      <c r="Q2" s="11"/>
      <c r="R2" s="11"/>
      <c r="S2" s="12"/>
      <c r="T2" s="12"/>
      <c r="U2" s="12"/>
      <c r="V2" s="12"/>
      <c r="W2" s="12"/>
      <c r="X2" s="12"/>
      <c r="AA2" s="85"/>
    </row>
    <row r="3" spans="1:32" ht="17.399999999999999" x14ac:dyDescent="0.3">
      <c r="A3" s="10">
        <v>42401</v>
      </c>
      <c r="B3" s="5">
        <v>68.239500000000007</v>
      </c>
      <c r="C3" s="6">
        <v>1237.76</v>
      </c>
      <c r="D3" s="6">
        <v>84450</v>
      </c>
      <c r="E3" s="7">
        <v>6987.05</v>
      </c>
      <c r="F3" s="7">
        <v>1932.23</v>
      </c>
      <c r="G3" s="8">
        <v>66.400000000000006</v>
      </c>
      <c r="H3" s="19">
        <f t="shared" ref="H3:H66" si="0">F3*B3</f>
        <v>131854.40908500002</v>
      </c>
      <c r="I3" s="11">
        <f t="shared" ref="I3:I34" si="1">IF(OR(B3="",B2=""),"",B3/B2-1)</f>
        <v>1.3459927643421077E-2</v>
      </c>
      <c r="J3" s="11">
        <f t="shared" ref="J3:J34" si="2">IF(OR(C3="",C2=""),"",C3/C2-1)</f>
        <v>0.10747646827243118</v>
      </c>
      <c r="K3" s="11">
        <f t="shared" ref="K3:K34" si="3">IF(OR(D3="",D2=""),"",D3/D2-1)</f>
        <v>0.11335231767125453</v>
      </c>
      <c r="L3" s="11">
        <f t="shared" ref="L3:L34" si="4">IF(OR(E3="",E2=""),"",E3/E2-1)</f>
        <v>-7.6220822232946128E-2</v>
      </c>
      <c r="M3" s="11">
        <f t="shared" ref="M3:M34" si="5">IF(OR(F3="",F2=""),"",F3/F2-1)</f>
        <v>-4.1283552550199776E-3</v>
      </c>
      <c r="N3" s="11">
        <f>IF(OR(H3="",H2=""),"",H3/H2-1)</f>
        <v>9.2760050253821724E-3</v>
      </c>
      <c r="O3" s="11">
        <f t="shared" ref="O3:O34" si="6">IF(OR(G3="",G2=""),"",G3/G2-1)</f>
        <v>-1.5037593984961184E-3</v>
      </c>
      <c r="P3" s="11">
        <f>IF(D3="","",D3/MAX($D$2:D3)-1)</f>
        <v>0</v>
      </c>
      <c r="Q3" s="11">
        <f>IF(E3="","",E3/MAX($E$2:E3)-1)</f>
        <v>-7.6220822232946128E-2</v>
      </c>
      <c r="R3" s="11">
        <f>IF(H3="","",H3/MAX($H$2:H3)-1)</f>
        <v>0</v>
      </c>
      <c r="S3" s="12">
        <f>IF(D3="","",100000*D3/$D$2)</f>
        <v>111335.23176712546</v>
      </c>
      <c r="T3" s="12">
        <f t="shared" ref="T3:T34" si="7">IF(E3="","",100000*E3/$E$2)</f>
        <v>92377.917776705377</v>
      </c>
      <c r="U3" s="12">
        <f t="shared" ref="U3:U34" si="8">IF(H3="","",100000*H3/$H$2)</f>
        <v>100927.60050253822</v>
      </c>
      <c r="V3" s="12">
        <f>IF(OR(S3="",G3="",$G$2=""),"",S3*$G$2/G3)</f>
        <v>111502.9053089434</v>
      </c>
      <c r="W3" s="12">
        <f t="shared" ref="W3:W34" si="9">IF(OR(T3="",G3="",$G$2=""),"",T3*$G$2/G3)</f>
        <v>92517.041146851014</v>
      </c>
      <c r="X3" s="12">
        <f t="shared" ref="X3:X34" si="10">IF(OR(U3="",G3="",$G$2=""),"",U3*$G$2/G3)</f>
        <v>101079.59990088541</v>
      </c>
      <c r="AA3" s="86" t="s">
        <v>2876</v>
      </c>
      <c r="AB3" s="83"/>
      <c r="AC3" s="83"/>
      <c r="AD3" s="83"/>
      <c r="AE3" s="83"/>
      <c r="AF3" s="83"/>
    </row>
    <row r="4" spans="1:32" ht="17.399999999999999" x14ac:dyDescent="0.3">
      <c r="A4" s="10">
        <v>42430</v>
      </c>
      <c r="B4" s="5">
        <v>66.890900000000002</v>
      </c>
      <c r="C4" s="6">
        <v>1231.95</v>
      </c>
      <c r="D4" s="6">
        <v>81617</v>
      </c>
      <c r="E4" s="7">
        <v>7738.4</v>
      </c>
      <c r="F4" s="7">
        <v>2059.7399999999998</v>
      </c>
      <c r="G4" s="8">
        <v>66.400000000000006</v>
      </c>
      <c r="H4" s="19">
        <f t="shared" si="0"/>
        <v>137777.86236599999</v>
      </c>
      <c r="I4" s="11">
        <f t="shared" si="1"/>
        <v>-1.9762747382381263E-2</v>
      </c>
      <c r="J4" s="11">
        <f t="shared" si="2"/>
        <v>-4.6939632885211191E-3</v>
      </c>
      <c r="K4" s="11">
        <f t="shared" si="3"/>
        <v>-3.3546477205447012E-2</v>
      </c>
      <c r="L4" s="11">
        <f t="shared" si="4"/>
        <v>0.10753465339449408</v>
      </c>
      <c r="M4" s="11">
        <f t="shared" si="5"/>
        <v>6.5991108718941094E-2</v>
      </c>
      <c r="N4" s="11">
        <f t="shared" ref="N4:N34" si="11">IF(OR(H4="",H3=""),"",H4/H3-1)</f>
        <v>4.4924195725464244E-2</v>
      </c>
      <c r="O4" s="11">
        <f t="shared" si="6"/>
        <v>0</v>
      </c>
      <c r="P4" s="11">
        <f>IF(D4="","",D4/MAX($D$2:D4)-1)</f>
        <v>-3.3546477205447012E-2</v>
      </c>
      <c r="Q4" s="11">
        <f>IF(E4="","",E4/MAX($E$2:E4)-1)</f>
        <v>0</v>
      </c>
      <c r="R4" s="11">
        <f>IF(H4="","",H4/MAX($H$2:H4)-1)</f>
        <v>0</v>
      </c>
      <c r="S4" s="12">
        <f t="shared" ref="S4:S67" si="12">IF(D4="","",100000*D4/$D$2)</f>
        <v>107600.32695248642</v>
      </c>
      <c r="T4" s="12">
        <f t="shared" si="7"/>
        <v>102311.74514612847</v>
      </c>
      <c r="U4" s="12">
        <f t="shared" si="8"/>
        <v>105461.69178161571</v>
      </c>
      <c r="V4" s="12">
        <f t="shared" ref="V4:V67" si="13">IF(OR(S4="",G4="",$G$2=""),"",S4*$G$2/G4)</f>
        <v>107762.37563765582</v>
      </c>
      <c r="W4" s="12">
        <f t="shared" si="9"/>
        <v>102465.82909966179</v>
      </c>
      <c r="X4" s="12">
        <f t="shared" si="10"/>
        <v>105620.5196306844</v>
      </c>
      <c r="AA4" s="86" t="s">
        <v>2877</v>
      </c>
      <c r="AB4" s="83"/>
      <c r="AC4" s="83"/>
      <c r="AD4" s="83"/>
      <c r="AE4" s="83"/>
      <c r="AF4" s="83"/>
    </row>
    <row r="5" spans="1:32" ht="17.399999999999999" x14ac:dyDescent="0.3">
      <c r="A5" s="10">
        <v>42461</v>
      </c>
      <c r="B5" s="5">
        <v>66.421899999999994</v>
      </c>
      <c r="C5" s="6">
        <v>1293.3599999999999</v>
      </c>
      <c r="D5" s="6">
        <v>85898</v>
      </c>
      <c r="E5" s="7">
        <v>7849.8</v>
      </c>
      <c r="F5" s="7">
        <v>2065.3000000000002</v>
      </c>
      <c r="G5" s="8">
        <v>67</v>
      </c>
      <c r="H5" s="19">
        <f t="shared" si="0"/>
        <v>137181.15007</v>
      </c>
      <c r="I5" s="11">
        <f t="shared" si="1"/>
        <v>-7.0114170985889901E-3</v>
      </c>
      <c r="J5" s="11">
        <f t="shared" si="2"/>
        <v>4.9847802264702201E-2</v>
      </c>
      <c r="K5" s="11">
        <f t="shared" si="3"/>
        <v>5.2452307730007197E-2</v>
      </c>
      <c r="L5" s="11">
        <f t="shared" si="4"/>
        <v>1.4395740721596217E-2</v>
      </c>
      <c r="M5" s="11">
        <f t="shared" si="5"/>
        <v>2.69936982337593E-3</v>
      </c>
      <c r="N5" s="11">
        <f t="shared" si="11"/>
        <v>-4.3309736829479917E-3</v>
      </c>
      <c r="O5" s="11">
        <f t="shared" si="6"/>
        <v>9.0361445783131433E-3</v>
      </c>
      <c r="P5" s="11">
        <f>IF(D5="","",D5/MAX($D$2:D5)-1)</f>
        <v>0</v>
      </c>
      <c r="Q5" s="11">
        <f>IF(E5="","",E5/MAX($E$2:E5)-1)</f>
        <v>0</v>
      </c>
      <c r="R5" s="11">
        <f>IF(H5="","",H5/MAX($H$2:H5)-1)</f>
        <v>-4.3309736829479917E-3</v>
      </c>
      <c r="S5" s="12">
        <f t="shared" si="12"/>
        <v>113244.21241364763</v>
      </c>
      <c r="T5" s="12">
        <f t="shared" si="7"/>
        <v>103784.59850202616</v>
      </c>
      <c r="U5" s="12">
        <f t="shared" si="8"/>
        <v>105004.93996995034</v>
      </c>
      <c r="V5" s="12">
        <f t="shared" si="13"/>
        <v>112399.10635085922</v>
      </c>
      <c r="W5" s="12">
        <f t="shared" si="9"/>
        <v>103010.08657290656</v>
      </c>
      <c r="X5" s="12">
        <f t="shared" si="10"/>
        <v>104221.32101495071</v>
      </c>
      <c r="AA5" s="86" t="s">
        <v>2878</v>
      </c>
      <c r="AB5" s="83"/>
      <c r="AC5" s="83"/>
      <c r="AD5" s="83"/>
      <c r="AE5" s="83"/>
      <c r="AF5" s="83"/>
    </row>
    <row r="6" spans="1:32" ht="17.399999999999999" x14ac:dyDescent="0.3">
      <c r="A6" s="10">
        <v>42491</v>
      </c>
      <c r="B6" s="5">
        <v>66.889499999999998</v>
      </c>
      <c r="C6" s="6">
        <v>1214.69</v>
      </c>
      <c r="D6" s="6">
        <v>81626</v>
      </c>
      <c r="E6" s="7">
        <v>8160.1</v>
      </c>
      <c r="F6" s="7">
        <v>2096.96</v>
      </c>
      <c r="G6" s="8">
        <v>67.7</v>
      </c>
      <c r="H6" s="19">
        <f t="shared" si="0"/>
        <v>140264.60592</v>
      </c>
      <c r="I6" s="11">
        <f t="shared" si="1"/>
        <v>7.0398467975172352E-3</v>
      </c>
      <c r="J6" s="11">
        <f t="shared" si="2"/>
        <v>-6.0826065441949573E-2</v>
      </c>
      <c r="K6" s="11">
        <f t="shared" si="3"/>
        <v>-4.9733404735849529E-2</v>
      </c>
      <c r="L6" s="11">
        <f t="shared" si="4"/>
        <v>3.9529669545721013E-2</v>
      </c>
      <c r="M6" s="11">
        <f t="shared" si="5"/>
        <v>1.5329492083474561E-2</v>
      </c>
      <c r="N6" s="11">
        <f t="shared" si="11"/>
        <v>2.2477256156743008E-2</v>
      </c>
      <c r="O6" s="11">
        <f t="shared" si="6"/>
        <v>1.0447761194029903E-2</v>
      </c>
      <c r="P6" s="11">
        <f>IF(D6="","",D6/MAX($D$2:D6)-1)</f>
        <v>-4.9733404735849529E-2</v>
      </c>
      <c r="Q6" s="11">
        <f>IF(E6="","",E6/MAX($E$2:E6)-1)</f>
        <v>0</v>
      </c>
      <c r="R6" s="11">
        <f>IF(H6="","",H6/MAX($H$2:H6)-1)</f>
        <v>0</v>
      </c>
      <c r="S6" s="12">
        <f t="shared" si="12"/>
        <v>107612.19216368718</v>
      </c>
      <c r="T6" s="12">
        <f t="shared" si="7"/>
        <v>107887.16938474658</v>
      </c>
      <c r="U6" s="12">
        <f t="shared" si="8"/>
        <v>107365.16290337835</v>
      </c>
      <c r="V6" s="12">
        <f t="shared" si="13"/>
        <v>105704.73824054944</v>
      </c>
      <c r="W6" s="12">
        <f t="shared" si="9"/>
        <v>105974.84141928577</v>
      </c>
      <c r="X6" s="12">
        <f t="shared" si="10"/>
        <v>105462.08763773502</v>
      </c>
      <c r="AA6" s="86" t="s">
        <v>2879</v>
      </c>
      <c r="AB6" s="83"/>
      <c r="AC6" s="83"/>
      <c r="AD6" s="83"/>
      <c r="AE6" s="83"/>
      <c r="AF6" s="83"/>
    </row>
    <row r="7" spans="1:32" ht="17.399999999999999" x14ac:dyDescent="0.3">
      <c r="A7" s="10">
        <v>42522</v>
      </c>
      <c r="B7" s="5">
        <v>67.265500000000003</v>
      </c>
      <c r="C7" s="6">
        <v>1321.78</v>
      </c>
      <c r="D7" s="6">
        <v>89212</v>
      </c>
      <c r="E7" s="7">
        <v>8287.75</v>
      </c>
      <c r="F7" s="7">
        <v>2098.86</v>
      </c>
      <c r="G7" s="8">
        <v>68.5</v>
      </c>
      <c r="H7" s="19">
        <f t="shared" si="0"/>
        <v>141180.86733000001</v>
      </c>
      <c r="I7" s="11">
        <f t="shared" si="1"/>
        <v>5.6212111018920652E-3</v>
      </c>
      <c r="J7" s="11">
        <f t="shared" si="2"/>
        <v>8.8162411808774266E-2</v>
      </c>
      <c r="K7" s="11">
        <f t="shared" si="3"/>
        <v>9.2936074290054682E-2</v>
      </c>
      <c r="L7" s="11">
        <f t="shared" si="4"/>
        <v>1.5643190647173455E-2</v>
      </c>
      <c r="M7" s="11">
        <f t="shared" si="5"/>
        <v>9.0607355409733081E-4</v>
      </c>
      <c r="N7" s="11">
        <f t="shared" si="11"/>
        <v>6.532377886710794E-3</v>
      </c>
      <c r="O7" s="11">
        <f t="shared" si="6"/>
        <v>1.1816838995568624E-2</v>
      </c>
      <c r="P7" s="11">
        <f>IF(D7="","",D7/MAX($D$2:D7)-1)</f>
        <v>0</v>
      </c>
      <c r="Q7" s="11">
        <f>IF(E7="","",E7/MAX($E$2:E7)-1)</f>
        <v>0</v>
      </c>
      <c r="R7" s="11">
        <f>IF(H7="","",H7/MAX($H$2:H7)-1)</f>
        <v>0</v>
      </c>
      <c r="S7" s="12">
        <f t="shared" si="12"/>
        <v>117613.24684912724</v>
      </c>
      <c r="T7" s="12">
        <f t="shared" si="7"/>
        <v>109574.86894381607</v>
      </c>
      <c r="U7" s="12">
        <f t="shared" si="8"/>
        <v>108066.51271933147</v>
      </c>
      <c r="V7" s="12">
        <f t="shared" si="13"/>
        <v>114179.28343747389</v>
      </c>
      <c r="W7" s="12">
        <f t="shared" si="9"/>
        <v>106375.60269728128</v>
      </c>
      <c r="X7" s="12">
        <f t="shared" si="10"/>
        <v>104911.28607059186</v>
      </c>
      <c r="AA7" s="86" t="s">
        <v>2880</v>
      </c>
      <c r="AB7" s="83"/>
      <c r="AC7" s="83"/>
      <c r="AD7" s="83"/>
      <c r="AE7" s="83"/>
      <c r="AF7" s="83"/>
    </row>
    <row r="8" spans="1:32" ht="15" x14ac:dyDescent="0.3">
      <c r="A8" s="10">
        <v>42552</v>
      </c>
      <c r="B8" s="5">
        <v>67.158000000000001</v>
      </c>
      <c r="C8" s="6">
        <v>1350.59</v>
      </c>
      <c r="D8" s="6">
        <v>89974</v>
      </c>
      <c r="E8" s="7">
        <v>8638.5</v>
      </c>
      <c r="F8" s="7">
        <v>2173.6</v>
      </c>
      <c r="G8" s="8">
        <v>69.099999999999994</v>
      </c>
      <c r="H8" s="19">
        <f t="shared" si="0"/>
        <v>145974.62880000001</v>
      </c>
      <c r="I8" s="11">
        <f t="shared" si="1"/>
        <v>-1.5981446655417564E-3</v>
      </c>
      <c r="J8" s="11">
        <f t="shared" si="2"/>
        <v>2.1796365507119164E-2</v>
      </c>
      <c r="K8" s="11">
        <f t="shared" si="3"/>
        <v>8.5414518226247793E-3</v>
      </c>
      <c r="L8" s="11">
        <f t="shared" si="4"/>
        <v>4.2321498597327478E-2</v>
      </c>
      <c r="M8" s="11">
        <f t="shared" si="5"/>
        <v>3.5609807228685897E-2</v>
      </c>
      <c r="N8" s="11">
        <f t="shared" si="11"/>
        <v>3.3954752939680866E-2</v>
      </c>
      <c r="O8" s="11">
        <f t="shared" si="6"/>
        <v>8.7591240875910525E-3</v>
      </c>
      <c r="P8" s="11">
        <f>IF(D8="","",D8/MAX($D$2:D8)-1)</f>
        <v>0</v>
      </c>
      <c r="Q8" s="11">
        <f>IF(E8="","",E8/MAX($E$2:E8)-1)</f>
        <v>0</v>
      </c>
      <c r="R8" s="11">
        <f>IF(H8="","",H8/MAX($H$2:H8)-1)</f>
        <v>0</v>
      </c>
      <c r="S8" s="12">
        <f t="shared" si="12"/>
        <v>118617.83473079154</v>
      </c>
      <c r="T8" s="12">
        <f t="shared" si="7"/>
        <v>114212.24160612411</v>
      </c>
      <c r="U8" s="12">
        <f t="shared" si="8"/>
        <v>111735.88445976924</v>
      </c>
      <c r="V8" s="12">
        <f t="shared" si="13"/>
        <v>114154.6455802842</v>
      </c>
      <c r="W8" s="12">
        <f t="shared" si="9"/>
        <v>109914.82006956953</v>
      </c>
      <c r="X8" s="12">
        <f t="shared" si="10"/>
        <v>107531.63989254204</v>
      </c>
    </row>
    <row r="9" spans="1:32" ht="15" x14ac:dyDescent="0.3">
      <c r="A9" s="10">
        <v>42583</v>
      </c>
      <c r="B9" s="5">
        <v>66.903499999999994</v>
      </c>
      <c r="C9" s="6">
        <v>1308.45</v>
      </c>
      <c r="D9" s="6">
        <v>87617</v>
      </c>
      <c r="E9" s="7">
        <v>8786.2000000000007</v>
      </c>
      <c r="F9" s="7">
        <v>2170.9499999999998</v>
      </c>
      <c r="G9" s="8">
        <v>69.099999999999994</v>
      </c>
      <c r="H9" s="19">
        <f t="shared" si="0"/>
        <v>145244.15332499996</v>
      </c>
      <c r="I9" s="11">
        <f t="shared" si="1"/>
        <v>-3.7895708627416758E-3</v>
      </c>
      <c r="J9" s="11">
        <f t="shared" si="2"/>
        <v>-3.120117874410433E-2</v>
      </c>
      <c r="K9" s="11">
        <f t="shared" si="3"/>
        <v>-2.6196456754173481E-2</v>
      </c>
      <c r="L9" s="11">
        <f t="shared" si="4"/>
        <v>1.7097875788620875E-2</v>
      </c>
      <c r="M9" s="11">
        <f t="shared" si="5"/>
        <v>-1.2191755612808164E-3</v>
      </c>
      <c r="N9" s="11">
        <f t="shared" si="11"/>
        <v>-5.0041262718391044E-3</v>
      </c>
      <c r="O9" s="11">
        <f t="shared" si="6"/>
        <v>0</v>
      </c>
      <c r="P9" s="11">
        <f>IF(D9="","",D9/MAX($D$2:D9)-1)</f>
        <v>-2.6196456754173481E-2</v>
      </c>
      <c r="Q9" s="11">
        <f>IF(E9="","",E9/MAX($E$2:E9)-1)</f>
        <v>0</v>
      </c>
      <c r="R9" s="11">
        <f>IF(H9="","",H9/MAX($H$2:H9)-1)</f>
        <v>-5.0041262718391044E-3</v>
      </c>
      <c r="S9" s="12">
        <f t="shared" si="12"/>
        <v>115510.46775299267</v>
      </c>
      <c r="T9" s="12">
        <f t="shared" si="7"/>
        <v>116165.02832664557</v>
      </c>
      <c r="U9" s="12">
        <f t="shared" si="8"/>
        <v>111176.74398483694</v>
      </c>
      <c r="V9" s="12">
        <f t="shared" si="13"/>
        <v>111164.19834405229</v>
      </c>
      <c r="W9" s="12">
        <f t="shared" si="9"/>
        <v>111794.13001044762</v>
      </c>
      <c r="X9" s="12">
        <f t="shared" si="10"/>
        <v>106993.53798830185</v>
      </c>
    </row>
    <row r="10" spans="1:32" ht="15" x14ac:dyDescent="0.3">
      <c r="A10" s="10">
        <v>42614</v>
      </c>
      <c r="B10" s="5">
        <v>66.713800000000006</v>
      </c>
      <c r="C10" s="6">
        <v>1315.8</v>
      </c>
      <c r="D10" s="6">
        <v>87561</v>
      </c>
      <c r="E10" s="7">
        <v>8611.15</v>
      </c>
      <c r="F10" s="7">
        <v>2168.27</v>
      </c>
      <c r="G10" s="8">
        <v>68.900000000000006</v>
      </c>
      <c r="H10" s="19">
        <f t="shared" si="0"/>
        <v>144653.53112600002</v>
      </c>
      <c r="I10" s="11">
        <f t="shared" si="1"/>
        <v>-2.8354271450670154E-3</v>
      </c>
      <c r="J10" s="11">
        <f t="shared" si="2"/>
        <v>5.6173334861859825E-3</v>
      </c>
      <c r="K10" s="11">
        <f t="shared" si="3"/>
        <v>-6.3914537133202831E-4</v>
      </c>
      <c r="L10" s="11">
        <f t="shared" si="4"/>
        <v>-1.992328879379035E-2</v>
      </c>
      <c r="M10" s="11">
        <f t="shared" si="5"/>
        <v>-1.2344825997834263E-3</v>
      </c>
      <c r="N10" s="11">
        <f t="shared" si="11"/>
        <v>-4.0664094593767519E-3</v>
      </c>
      <c r="O10" s="11">
        <f t="shared" si="6"/>
        <v>-2.8943560057885787E-3</v>
      </c>
      <c r="P10" s="11">
        <f>IF(D10="","",D10/MAX($D$2:D10)-1)</f>
        <v>-2.6818858781425758E-2</v>
      </c>
      <c r="Q10" s="11">
        <f>IF(E10="","",E10/MAX($E$2:E10)-1)</f>
        <v>-1.992328879379035E-2</v>
      </c>
      <c r="R10" s="11">
        <f>IF(H10="","",H10/MAX($H$2:H10)-1)</f>
        <v>-9.0501869048081884E-3</v>
      </c>
      <c r="S10" s="12">
        <f t="shared" si="12"/>
        <v>115436.63977218795</v>
      </c>
      <c r="T10" s="12">
        <f t="shared" si="7"/>
        <v>113850.63891955497</v>
      </c>
      <c r="U10" s="12">
        <f t="shared" si="8"/>
        <v>110724.65382143429</v>
      </c>
      <c r="V10" s="12">
        <f t="shared" si="13"/>
        <v>111415.62474383887</v>
      </c>
      <c r="W10" s="12">
        <f t="shared" si="9"/>
        <v>109884.86920392461</v>
      </c>
      <c r="X10" s="12">
        <f t="shared" si="10"/>
        <v>106867.77183055703</v>
      </c>
    </row>
    <row r="11" spans="1:32" ht="15" x14ac:dyDescent="0.3">
      <c r="A11" s="10">
        <v>42644</v>
      </c>
      <c r="B11" s="5">
        <v>66.741500000000002</v>
      </c>
      <c r="C11" s="6">
        <v>1277.28</v>
      </c>
      <c r="D11" s="6">
        <v>85163</v>
      </c>
      <c r="E11" s="7">
        <v>8625.7000000000007</v>
      </c>
      <c r="F11" s="7">
        <v>2126.15</v>
      </c>
      <c r="G11" s="8">
        <v>69.2</v>
      </c>
      <c r="H11" s="19">
        <f t="shared" si="0"/>
        <v>141902.440225</v>
      </c>
      <c r="I11" s="11">
        <f t="shared" si="1"/>
        <v>4.1520644904036175E-4</v>
      </c>
      <c r="J11" s="11">
        <f t="shared" si="2"/>
        <v>-2.9274965800273556E-2</v>
      </c>
      <c r="K11" s="11">
        <f t="shared" si="3"/>
        <v>-2.7386621897876884E-2</v>
      </c>
      <c r="L11" s="11">
        <f t="shared" si="4"/>
        <v>1.6896697885881995E-3</v>
      </c>
      <c r="M11" s="11">
        <f t="shared" si="5"/>
        <v>-1.9425625037472249E-2</v>
      </c>
      <c r="N11" s="11">
        <f t="shared" si="11"/>
        <v>-1.9018484233224053E-2</v>
      </c>
      <c r="O11" s="11">
        <f t="shared" si="6"/>
        <v>4.3541364296080243E-3</v>
      </c>
      <c r="P11" s="11">
        <f>IF(D11="","",D11/MAX($D$2:D11)-1)</f>
        <v>-5.3471002734123196E-2</v>
      </c>
      <c r="Q11" s="11">
        <f>IF(E11="","",E11/MAX($E$2:E11)-1)</f>
        <v>-1.8267282784366401E-2</v>
      </c>
      <c r="R11" s="11">
        <f>IF(H11="","",H11/MAX($H$2:H11)-1)</f>
        <v>-2.7896550301075407E-2</v>
      </c>
      <c r="S11" s="12">
        <f t="shared" si="12"/>
        <v>112275.22016558562</v>
      </c>
      <c r="T11" s="12">
        <f t="shared" si="7"/>
        <v>114043.0089045488</v>
      </c>
      <c r="U11" s="12">
        <f t="shared" si="8"/>
        <v>108618.83873850215</v>
      </c>
      <c r="V11" s="12">
        <f t="shared" si="13"/>
        <v>107894.53960999196</v>
      </c>
      <c r="W11" s="12">
        <f t="shared" si="9"/>
        <v>109593.35393283951</v>
      </c>
      <c r="X11" s="12">
        <f t="shared" si="10"/>
        <v>104380.82046402301</v>
      </c>
    </row>
    <row r="12" spans="1:32" ht="15" x14ac:dyDescent="0.3">
      <c r="A12" s="10">
        <v>42675</v>
      </c>
      <c r="B12" s="5">
        <v>67.639499999999998</v>
      </c>
      <c r="C12" s="6">
        <v>1172.7</v>
      </c>
      <c r="D12" s="6">
        <v>80464</v>
      </c>
      <c r="E12" s="7">
        <v>8224.5</v>
      </c>
      <c r="F12" s="7">
        <v>2198.81</v>
      </c>
      <c r="G12" s="8">
        <v>69.099999999999994</v>
      </c>
      <c r="H12" s="19">
        <f t="shared" si="0"/>
        <v>148726.40899500001</v>
      </c>
      <c r="I12" s="11">
        <f t="shared" si="1"/>
        <v>1.3454896878254186E-2</v>
      </c>
      <c r="J12" s="11">
        <f t="shared" si="2"/>
        <v>-8.1877113866967277E-2</v>
      </c>
      <c r="K12" s="11">
        <f t="shared" si="3"/>
        <v>-5.5176543804234202E-2</v>
      </c>
      <c r="L12" s="11">
        <f t="shared" si="4"/>
        <v>-4.6512167128465065E-2</v>
      </c>
      <c r="M12" s="11">
        <f t="shared" si="5"/>
        <v>3.4174446769983158E-2</v>
      </c>
      <c r="N12" s="11">
        <f t="shared" si="11"/>
        <v>4.8089157305398977E-2</v>
      </c>
      <c r="O12" s="11">
        <f t="shared" si="6"/>
        <v>-1.4450867052023808E-3</v>
      </c>
      <c r="P12" s="11">
        <f>IF(D12="","",D12/MAX($D$2:D12)-1)</f>
        <v>-0.10569720141374173</v>
      </c>
      <c r="Q12" s="11">
        <f>IF(E12="","",E12/MAX($E$2:E12)-1)</f>
        <v>-6.3929799002982013E-2</v>
      </c>
      <c r="R12" s="11">
        <f>IF(H12="","",H12/MAX($H$2:H12)-1)</f>
        <v>0</v>
      </c>
      <c r="S12" s="12">
        <f t="shared" si="12"/>
        <v>106080.26156198914</v>
      </c>
      <c r="T12" s="12">
        <f t="shared" si="7"/>
        <v>108738.62141454739</v>
      </c>
      <c r="U12" s="12">
        <f t="shared" si="8"/>
        <v>113842.22716092774</v>
      </c>
      <c r="V12" s="12">
        <f t="shared" si="13"/>
        <v>102088.8190140706</v>
      </c>
      <c r="W12" s="12">
        <f t="shared" si="9"/>
        <v>104647.15374916646</v>
      </c>
      <c r="X12" s="12">
        <f t="shared" si="10"/>
        <v>109558.72802028502</v>
      </c>
    </row>
    <row r="13" spans="1:32" ht="15" x14ac:dyDescent="0.3">
      <c r="A13" s="10">
        <v>42705</v>
      </c>
      <c r="B13" s="5">
        <v>67.805199999999999</v>
      </c>
      <c r="C13" s="6">
        <v>1151.46</v>
      </c>
      <c r="D13" s="6">
        <v>78235</v>
      </c>
      <c r="E13" s="7">
        <v>8185.8</v>
      </c>
      <c r="F13" s="7">
        <v>2238.83</v>
      </c>
      <c r="G13" s="8">
        <v>68.7</v>
      </c>
      <c r="H13" s="19">
        <f t="shared" si="0"/>
        <v>151804.31591599999</v>
      </c>
      <c r="I13" s="11">
        <f t="shared" si="1"/>
        <v>2.4497519940271939E-3</v>
      </c>
      <c r="J13" s="11">
        <f t="shared" si="2"/>
        <v>-1.8112049117421369E-2</v>
      </c>
      <c r="K13" s="11">
        <f t="shared" si="3"/>
        <v>-2.7701829389540689E-2</v>
      </c>
      <c r="L13" s="11">
        <f t="shared" si="4"/>
        <v>-4.7054532190407006E-3</v>
      </c>
      <c r="M13" s="11">
        <f t="shared" si="5"/>
        <v>1.8200754044233047E-2</v>
      </c>
      <c r="N13" s="11">
        <f t="shared" si="11"/>
        <v>2.0695093371772666E-2</v>
      </c>
      <c r="O13" s="11">
        <f t="shared" si="6"/>
        <v>-5.7887120115772683E-3</v>
      </c>
      <c r="P13" s="11">
        <f>IF(D13="","",D13/MAX($D$2:D13)-1)</f>
        <v>-0.13047102496276697</v>
      </c>
      <c r="Q13" s="11">
        <f>IF(E13="","",E13/MAX($E$2:E13)-1)</f>
        <v>-6.833443354351143E-2</v>
      </c>
      <c r="R13" s="11">
        <f>IF(H13="","",H13/MAX($H$2:H13)-1)</f>
        <v>0</v>
      </c>
      <c r="S13" s="12">
        <f t="shared" si="12"/>
        <v>103141.64425460107</v>
      </c>
      <c r="T13" s="12">
        <f t="shared" si="7"/>
        <v>108226.95691837827</v>
      </c>
      <c r="U13" s="12">
        <f t="shared" si="8"/>
        <v>116198.20268167371</v>
      </c>
      <c r="V13" s="12">
        <f t="shared" si="13"/>
        <v>99838.709504089813</v>
      </c>
      <c r="W13" s="12">
        <f t="shared" si="9"/>
        <v>104761.17372739672</v>
      </c>
      <c r="X13" s="12">
        <f t="shared" si="10"/>
        <v>112477.15397862156</v>
      </c>
    </row>
    <row r="14" spans="1:32" ht="15" x14ac:dyDescent="0.3">
      <c r="A14" s="10">
        <v>42736</v>
      </c>
      <c r="B14" s="5">
        <v>68.047399999999996</v>
      </c>
      <c r="C14" s="6">
        <v>1210.51</v>
      </c>
      <c r="D14" s="6">
        <v>81660</v>
      </c>
      <c r="E14" s="7">
        <v>8561.2999999999993</v>
      </c>
      <c r="F14" s="7">
        <v>2278.87</v>
      </c>
      <c r="G14" s="8">
        <v>68.599999999999994</v>
      </c>
      <c r="H14" s="19">
        <f t="shared" si="0"/>
        <v>155071.17843799997</v>
      </c>
      <c r="I14" s="11">
        <f t="shared" si="1"/>
        <v>3.5719974279257993E-3</v>
      </c>
      <c r="J14" s="11">
        <f t="shared" si="2"/>
        <v>5.1282719330241644E-2</v>
      </c>
      <c r="K14" s="11">
        <f t="shared" si="3"/>
        <v>4.3778360069022915E-2</v>
      </c>
      <c r="L14" s="11">
        <f t="shared" si="4"/>
        <v>4.5872120012704798E-2</v>
      </c>
      <c r="M14" s="11">
        <f t="shared" si="5"/>
        <v>1.7884341374735824E-2</v>
      </c>
      <c r="N14" s="11">
        <f t="shared" si="11"/>
        <v>2.1520221624052427E-2</v>
      </c>
      <c r="O14" s="11">
        <f t="shared" si="6"/>
        <v>-1.4556040756915634E-3</v>
      </c>
      <c r="P14" s="11">
        <f>IF(D14="","",D14/MAX($D$2:D14)-1)</f>
        <v>-9.2404472403138649E-2</v>
      </c>
      <c r="Q14" s="11">
        <f>IF(E14="","",E14/MAX($E$2:E14)-1)</f>
        <v>-2.5596958867314834E-2</v>
      </c>
      <c r="R14" s="11">
        <f>IF(H14="","",H14/MAX($H$2:H14)-1)</f>
        <v>0</v>
      </c>
      <c r="S14" s="12">
        <f t="shared" si="12"/>
        <v>107657.01629489005</v>
      </c>
      <c r="T14" s="12">
        <f t="shared" si="7"/>
        <v>113191.55687474796</v>
      </c>
      <c r="U14" s="12">
        <f t="shared" si="8"/>
        <v>118698.81375569988</v>
      </c>
      <c r="V14" s="12">
        <f t="shared" si="13"/>
        <v>104361.3933470873</v>
      </c>
      <c r="W14" s="12">
        <f t="shared" si="9"/>
        <v>109726.50921531691</v>
      </c>
      <c r="X14" s="12">
        <f t="shared" si="10"/>
        <v>115065.17659991316</v>
      </c>
    </row>
    <row r="15" spans="1:32" ht="15" x14ac:dyDescent="0.3">
      <c r="A15" s="10">
        <v>42767</v>
      </c>
      <c r="B15" s="5">
        <v>66.9726</v>
      </c>
      <c r="C15" s="6">
        <v>1248.52</v>
      </c>
      <c r="D15" s="6">
        <v>83240</v>
      </c>
      <c r="E15" s="7">
        <v>8879.6</v>
      </c>
      <c r="F15" s="7">
        <v>2363.64</v>
      </c>
      <c r="G15" s="8">
        <v>68.8</v>
      </c>
      <c r="H15" s="19">
        <f t="shared" si="0"/>
        <v>158299.11626399998</v>
      </c>
      <c r="I15" s="11">
        <f t="shared" si="1"/>
        <v>-1.5794872397769777E-2</v>
      </c>
      <c r="J15" s="11">
        <f t="shared" si="2"/>
        <v>3.1399988434626769E-2</v>
      </c>
      <c r="K15" s="11">
        <f t="shared" si="3"/>
        <v>1.9348518246387503E-2</v>
      </c>
      <c r="L15" s="11">
        <f t="shared" si="4"/>
        <v>3.7178933105953771E-2</v>
      </c>
      <c r="M15" s="11">
        <f t="shared" si="5"/>
        <v>3.7198260541408734E-2</v>
      </c>
      <c r="N15" s="11">
        <f t="shared" si="11"/>
        <v>2.081584636496836E-2</v>
      </c>
      <c r="O15" s="11">
        <f t="shared" si="6"/>
        <v>2.9154518950438302E-3</v>
      </c>
      <c r="P15" s="11">
        <f>IF(D15="","",D15/MAX($D$2:D15)-1)</f>
        <v>-7.484384377709119E-2</v>
      </c>
      <c r="Q15" s="11">
        <f>IF(E15="","",E15/MAX($E$2:E15)-1)</f>
        <v>0</v>
      </c>
      <c r="R15" s="11">
        <f>IF(H15="","",H15/MAX($H$2:H15)-1)</f>
        <v>0</v>
      </c>
      <c r="S15" s="12">
        <f t="shared" si="12"/>
        <v>109740.02003902337</v>
      </c>
      <c r="T15" s="12">
        <f t="shared" si="7"/>
        <v>117399.89819595296</v>
      </c>
      <c r="U15" s="12">
        <f t="shared" si="8"/>
        <v>121169.63002654252</v>
      </c>
      <c r="V15" s="12">
        <f t="shared" si="13"/>
        <v>106071.38564818393</v>
      </c>
      <c r="W15" s="12">
        <f t="shared" si="9"/>
        <v>113475.19229696035</v>
      </c>
      <c r="X15" s="12">
        <f t="shared" si="10"/>
        <v>117118.90111577148</v>
      </c>
    </row>
    <row r="16" spans="1:32" ht="15" x14ac:dyDescent="0.3">
      <c r="A16" s="10">
        <v>42795</v>
      </c>
      <c r="B16" s="5">
        <v>65.800899999999999</v>
      </c>
      <c r="C16" s="6">
        <v>1248.6300000000001</v>
      </c>
      <c r="D16" s="6">
        <v>80979</v>
      </c>
      <c r="E16" s="7">
        <v>9173.75</v>
      </c>
      <c r="F16" s="7">
        <v>2362.7199999999998</v>
      </c>
      <c r="G16" s="8">
        <v>68.900000000000006</v>
      </c>
      <c r="H16" s="19">
        <f t="shared" si="0"/>
        <v>155469.10244799999</v>
      </c>
      <c r="I16" s="11">
        <f t="shared" si="1"/>
        <v>-1.7495214460839237E-2</v>
      </c>
      <c r="J16" s="11">
        <f t="shared" si="2"/>
        <v>8.8104315509651698E-5</v>
      </c>
      <c r="K16" s="11">
        <f t="shared" si="3"/>
        <v>-2.7162421912542034E-2</v>
      </c>
      <c r="L16" s="11">
        <f t="shared" si="4"/>
        <v>3.3126492184332612E-2</v>
      </c>
      <c r="M16" s="11">
        <f t="shared" si="5"/>
        <v>-3.8923017041514463E-4</v>
      </c>
      <c r="N16" s="11">
        <f t="shared" si="11"/>
        <v>-1.7877634965948186E-2</v>
      </c>
      <c r="O16" s="11">
        <f t="shared" si="6"/>
        <v>1.4534883720931369E-3</v>
      </c>
      <c r="P16" s="11">
        <f>IF(D16="","",D16/MAX($D$2:D16)-1)</f>
        <v>-9.9973325627403464E-2</v>
      </c>
      <c r="Q16" s="11">
        <f>IF(E16="","",E16/MAX($E$2:E16)-1)</f>
        <v>0</v>
      </c>
      <c r="R16" s="11">
        <f>IF(H16="","",H16/MAX($H$2:H16)-1)</f>
        <v>-1.7877634965948186E-2</v>
      </c>
      <c r="S16" s="12">
        <f t="shared" si="12"/>
        <v>106759.21531403258</v>
      </c>
      <c r="T16" s="12">
        <f t="shared" si="7"/>
        <v>121288.94500598263</v>
      </c>
      <c r="U16" s="12">
        <f t="shared" si="8"/>
        <v>119003.403611969</v>
      </c>
      <c r="V16" s="12">
        <f t="shared" si="13"/>
        <v>103040.46180527091</v>
      </c>
      <c r="W16" s="12">
        <f t="shared" si="9"/>
        <v>117064.07609430834</v>
      </c>
      <c r="X16" s="12">
        <f t="shared" si="10"/>
        <v>114858.14717265511</v>
      </c>
    </row>
    <row r="17" spans="1:24" ht="15" x14ac:dyDescent="0.3">
      <c r="A17" s="10">
        <v>42826</v>
      </c>
      <c r="B17" s="5">
        <v>64.536000000000001</v>
      </c>
      <c r="C17" s="6">
        <v>1267.6500000000001</v>
      </c>
      <c r="D17" s="6">
        <v>81472</v>
      </c>
      <c r="E17" s="7">
        <v>9304.0499999999993</v>
      </c>
      <c r="F17" s="7">
        <v>2384.1999999999998</v>
      </c>
      <c r="G17" s="8">
        <v>69.099999999999994</v>
      </c>
      <c r="H17" s="19">
        <f t="shared" si="0"/>
        <v>153866.73119999998</v>
      </c>
      <c r="I17" s="11">
        <f t="shared" si="1"/>
        <v>-1.9223141324814619E-2</v>
      </c>
      <c r="J17" s="11">
        <f t="shared" si="2"/>
        <v>1.5232695033756904E-2</v>
      </c>
      <c r="K17" s="11">
        <f t="shared" si="3"/>
        <v>6.0879981229702285E-3</v>
      </c>
      <c r="L17" s="11">
        <f t="shared" si="4"/>
        <v>1.4203569968660457E-2</v>
      </c>
      <c r="M17" s="11">
        <f t="shared" si="5"/>
        <v>9.0912169025529899E-3</v>
      </c>
      <c r="N17" s="11">
        <f t="shared" si="11"/>
        <v>-1.030668616959407E-2</v>
      </c>
      <c r="O17" s="11">
        <f t="shared" si="6"/>
        <v>2.9027576197386828E-3</v>
      </c>
      <c r="P17" s="11">
        <f>IF(D17="","",D17/MAX($D$2:D17)-1)</f>
        <v>-9.4493964923200058E-2</v>
      </c>
      <c r="Q17" s="11">
        <f>IF(E17="","",E17/MAX($E$2:E17)-1)</f>
        <v>0</v>
      </c>
      <c r="R17" s="11">
        <f>IF(H17="","",H17/MAX($H$2:H17)-1)</f>
        <v>-2.8000061962493716E-2</v>
      </c>
      <c r="S17" s="12">
        <f t="shared" si="12"/>
        <v>107409.16521647418</v>
      </c>
      <c r="T17" s="12">
        <f t="shared" si="7"/>
        <v>123011.68102280013</v>
      </c>
      <c r="U17" s="12">
        <f t="shared" si="8"/>
        <v>117776.8728778269</v>
      </c>
      <c r="V17" s="12">
        <f t="shared" si="13"/>
        <v>103367.72050500048</v>
      </c>
      <c r="W17" s="12">
        <f t="shared" si="9"/>
        <v>118383.16625204355</v>
      </c>
      <c r="X17" s="12">
        <f t="shared" si="10"/>
        <v>113345.32628618654</v>
      </c>
    </row>
    <row r="18" spans="1:24" ht="15" x14ac:dyDescent="0.3">
      <c r="A18" s="10">
        <v>42856</v>
      </c>
      <c r="B18" s="5">
        <v>64.419499999999999</v>
      </c>
      <c r="C18" s="6">
        <v>1268.0899999999999</v>
      </c>
      <c r="D18" s="6">
        <v>81798</v>
      </c>
      <c r="E18" s="7">
        <v>9621.25</v>
      </c>
      <c r="F18" s="7">
        <v>2411.8000000000002</v>
      </c>
      <c r="G18" s="8">
        <v>69.2</v>
      </c>
      <c r="H18" s="19">
        <f t="shared" si="0"/>
        <v>155366.95010000002</v>
      </c>
      <c r="I18" s="11">
        <f t="shared" si="1"/>
        <v>-1.8051940002479228E-3</v>
      </c>
      <c r="J18" s="11">
        <f t="shared" si="2"/>
        <v>3.4709896264728535E-4</v>
      </c>
      <c r="K18" s="11">
        <f t="shared" si="3"/>
        <v>4.0013747054201687E-3</v>
      </c>
      <c r="L18" s="11">
        <f t="shared" si="4"/>
        <v>3.4092680069432113E-2</v>
      </c>
      <c r="M18" s="11">
        <f t="shared" si="5"/>
        <v>1.1576210049492719E-2</v>
      </c>
      <c r="N18" s="11">
        <f t="shared" si="11"/>
        <v>9.7501187443178594E-3</v>
      </c>
      <c r="O18" s="11">
        <f t="shared" si="6"/>
        <v>1.4471780028944004E-3</v>
      </c>
      <c r="P18" s="11">
        <f>IF(D18="","",D18/MAX($D$2:D18)-1)</f>
        <v>-9.0870695978838345E-2</v>
      </c>
      <c r="Q18" s="11">
        <f>IF(E18="","",E18/MAX($E$2:E18)-1)</f>
        <v>0</v>
      </c>
      <c r="R18" s="11">
        <f>IF(H18="","",H18/MAX($H$2:H18)-1)</f>
        <v>-1.8522947147158519E-2</v>
      </c>
      <c r="S18" s="12">
        <f t="shared" si="12"/>
        <v>107838.9495333017</v>
      </c>
      <c r="T18" s="12">
        <f t="shared" si="7"/>
        <v>127205.4789087135</v>
      </c>
      <c r="U18" s="12">
        <f t="shared" si="8"/>
        <v>118925.21137372014</v>
      </c>
      <c r="V18" s="12">
        <f t="shared" si="13"/>
        <v>103631.36046191564</v>
      </c>
      <c r="W18" s="12">
        <f t="shared" si="9"/>
        <v>122242.25935591686</v>
      </c>
      <c r="X18" s="12">
        <f t="shared" si="10"/>
        <v>114285.06584324263</v>
      </c>
    </row>
    <row r="19" spans="1:24" ht="15" x14ac:dyDescent="0.3">
      <c r="A19" s="10">
        <v>42887</v>
      </c>
      <c r="B19" s="5">
        <v>64.4482</v>
      </c>
      <c r="C19" s="6">
        <v>1241.2</v>
      </c>
      <c r="D19" s="6">
        <v>80200</v>
      </c>
      <c r="E19" s="7">
        <v>9520.9</v>
      </c>
      <c r="F19" s="7">
        <v>2423.41</v>
      </c>
      <c r="G19" s="8">
        <v>69.5</v>
      </c>
      <c r="H19" s="19">
        <f t="shared" si="0"/>
        <v>156184.412362</v>
      </c>
      <c r="I19" s="11">
        <f t="shared" si="1"/>
        <v>4.4551727349628756E-4</v>
      </c>
      <c r="J19" s="11">
        <f t="shared" si="2"/>
        <v>-2.1205119510444792E-2</v>
      </c>
      <c r="K19" s="11">
        <f t="shared" si="3"/>
        <v>-1.9535929973838018E-2</v>
      </c>
      <c r="L19" s="11">
        <f t="shared" si="4"/>
        <v>-1.0430037677017112E-2</v>
      </c>
      <c r="M19" s="11">
        <f t="shared" si="5"/>
        <v>4.8138319927024664E-3</v>
      </c>
      <c r="N19" s="11">
        <f t="shared" si="11"/>
        <v>5.2614939115032122E-3</v>
      </c>
      <c r="O19" s="11">
        <f t="shared" si="6"/>
        <v>4.3352601156068094E-3</v>
      </c>
      <c r="P19" s="11">
        <f>IF(D19="","",D19/MAX($D$2:D19)-1)</f>
        <v>-0.10863138239935977</v>
      </c>
      <c r="Q19" s="11">
        <f>IF(E19="","",E19/MAX($E$2:E19)-1)</f>
        <v>-1.0430037677017112E-2</v>
      </c>
      <c r="R19" s="11">
        <f>IF(H19="","",H19/MAX($H$2:H19)-1)</f>
        <v>-1.3358911609293034E-2</v>
      </c>
      <c r="S19" s="12">
        <f t="shared" si="12"/>
        <v>105732.21536676686</v>
      </c>
      <c r="T19" s="12">
        <f t="shared" si="7"/>
        <v>125878.72097097262</v>
      </c>
      <c r="U19" s="12">
        <f t="shared" si="8"/>
        <v>119550.93564928722</v>
      </c>
      <c r="V19" s="12">
        <f t="shared" si="13"/>
        <v>101168.23484733808</v>
      </c>
      <c r="W19" s="12">
        <f t="shared" si="9"/>
        <v>120445.10711611049</v>
      </c>
      <c r="X19" s="12">
        <f t="shared" si="10"/>
        <v>114390.46360687194</v>
      </c>
    </row>
    <row r="20" spans="1:24" ht="15" x14ac:dyDescent="0.3">
      <c r="A20" s="10">
        <v>42917</v>
      </c>
      <c r="B20" s="5">
        <v>64.424000000000007</v>
      </c>
      <c r="C20" s="6">
        <v>1269.05</v>
      </c>
      <c r="D20" s="6">
        <v>81442</v>
      </c>
      <c r="E20" s="7">
        <v>10077.1</v>
      </c>
      <c r="F20" s="7">
        <v>2470.3000000000002</v>
      </c>
      <c r="G20" s="8">
        <v>70.7</v>
      </c>
      <c r="H20" s="19">
        <f t="shared" si="0"/>
        <v>159146.60720000003</v>
      </c>
      <c r="I20" s="11">
        <f t="shared" si="1"/>
        <v>-3.7549535906344911E-4</v>
      </c>
      <c r="J20" s="11">
        <f t="shared" si="2"/>
        <v>2.2437963261359828E-2</v>
      </c>
      <c r="K20" s="11">
        <f t="shared" si="3"/>
        <v>1.5486284289276897E-2</v>
      </c>
      <c r="L20" s="11">
        <f t="shared" si="4"/>
        <v>5.8418846957745574E-2</v>
      </c>
      <c r="M20" s="11">
        <f t="shared" si="5"/>
        <v>1.9348768883515444E-2</v>
      </c>
      <c r="N20" s="11">
        <f t="shared" si="11"/>
        <v>1.8966008151532598E-2</v>
      </c>
      <c r="O20" s="11">
        <f t="shared" si="6"/>
        <v>1.7266187050359649E-2</v>
      </c>
      <c r="P20" s="11">
        <f>IF(D20="","",D20/MAX($D$2:D20)-1)</f>
        <v>-9.4827394580656588E-2</v>
      </c>
      <c r="Q20" s="11">
        <f>IF(E20="","",E20/MAX($E$2:E20)-1)</f>
        <v>0</v>
      </c>
      <c r="R20" s="11">
        <f>IF(H20="","",H20/MAX($H$2:H20)-1)</f>
        <v>0</v>
      </c>
      <c r="S20" s="12">
        <f t="shared" si="12"/>
        <v>107369.61451247166</v>
      </c>
      <c r="T20" s="12">
        <f t="shared" si="7"/>
        <v>133232.41070661263</v>
      </c>
      <c r="U20" s="12">
        <f t="shared" si="8"/>
        <v>121818.33966933494</v>
      </c>
      <c r="V20" s="12">
        <f t="shared" si="13"/>
        <v>100991.2215711367</v>
      </c>
      <c r="W20" s="12">
        <f t="shared" si="9"/>
        <v>125317.61403097227</v>
      </c>
      <c r="X20" s="12">
        <f t="shared" si="10"/>
        <v>114581.60661967147</v>
      </c>
    </row>
    <row r="21" spans="1:24" ht="15" x14ac:dyDescent="0.3">
      <c r="A21" s="10">
        <v>42948</v>
      </c>
      <c r="B21" s="5">
        <v>63.968299999999999</v>
      </c>
      <c r="C21" s="6">
        <v>1321.6</v>
      </c>
      <c r="D21" s="6">
        <v>84490</v>
      </c>
      <c r="E21" s="7">
        <v>9917.9</v>
      </c>
      <c r="F21" s="7">
        <v>2471.65</v>
      </c>
      <c r="G21" s="8">
        <v>71.3</v>
      </c>
      <c r="H21" s="19">
        <f t="shared" si="0"/>
        <v>158107.24869500002</v>
      </c>
      <c r="I21" s="11">
        <f t="shared" si="1"/>
        <v>-7.073450887868038E-3</v>
      </c>
      <c r="J21" s="11">
        <f t="shared" si="2"/>
        <v>4.1408927938221485E-2</v>
      </c>
      <c r="K21" s="11">
        <f t="shared" si="3"/>
        <v>3.7425407038137681E-2</v>
      </c>
      <c r="L21" s="11">
        <f t="shared" si="4"/>
        <v>-1.5798195909537571E-2</v>
      </c>
      <c r="M21" s="11">
        <f t="shared" si="5"/>
        <v>5.4649232886694321E-4</v>
      </c>
      <c r="N21" s="11">
        <f t="shared" si="11"/>
        <v>-6.5308241456498717E-3</v>
      </c>
      <c r="O21" s="11">
        <f t="shared" si="6"/>
        <v>8.4865629420083355E-3</v>
      </c>
      <c r="P21" s="11">
        <f>IF(D21="","",D21/MAX($D$2:D21)-1)</f>
        <v>-6.0950941383066226E-2</v>
      </c>
      <c r="Q21" s="11">
        <f>IF(E21="","",E21/MAX($E$2:E21)-1)</f>
        <v>-1.5798195909537571E-2</v>
      </c>
      <c r="R21" s="11">
        <f>IF(H21="","",H21/MAX($H$2:H21)-1)</f>
        <v>-6.5308241456498717E-3</v>
      </c>
      <c r="S21" s="12">
        <f t="shared" si="12"/>
        <v>111387.96603912883</v>
      </c>
      <c r="T21" s="12">
        <f t="shared" si="7"/>
        <v>131127.57898076961</v>
      </c>
      <c r="U21" s="12">
        <f t="shared" si="8"/>
        <v>121022.76551523947</v>
      </c>
      <c r="V21" s="12">
        <f t="shared" si="13"/>
        <v>103889.1969369154</v>
      </c>
      <c r="W21" s="12">
        <f t="shared" si="9"/>
        <v>122299.91587967995</v>
      </c>
      <c r="X21" s="12">
        <f t="shared" si="10"/>
        <v>112875.37036133837</v>
      </c>
    </row>
    <row r="22" spans="1:24" ht="15" x14ac:dyDescent="0.3">
      <c r="A22" s="10">
        <v>42979</v>
      </c>
      <c r="B22" s="5">
        <v>64.477500000000006</v>
      </c>
      <c r="C22" s="6">
        <v>1279.0999999999999</v>
      </c>
      <c r="D22" s="6">
        <v>83529</v>
      </c>
      <c r="E22" s="7">
        <v>9788.6</v>
      </c>
      <c r="F22" s="7">
        <v>2519.36</v>
      </c>
      <c r="G22" s="8">
        <v>71.2</v>
      </c>
      <c r="H22" s="19">
        <f t="shared" si="0"/>
        <v>162442.03440000003</v>
      </c>
      <c r="I22" s="11">
        <f t="shared" si="1"/>
        <v>7.9601927829879848E-3</v>
      </c>
      <c r="J22" s="11">
        <f t="shared" si="2"/>
        <v>-3.2157990314769958E-2</v>
      </c>
      <c r="K22" s="11">
        <f t="shared" si="3"/>
        <v>-1.1374127115635013E-2</v>
      </c>
      <c r="L22" s="11">
        <f t="shared" si="4"/>
        <v>-1.3037034049546703E-2</v>
      </c>
      <c r="M22" s="11">
        <f t="shared" si="5"/>
        <v>1.9302894827342154E-2</v>
      </c>
      <c r="N22" s="11">
        <f t="shared" si="11"/>
        <v>2.7416742374425374E-2</v>
      </c>
      <c r="O22" s="11">
        <f t="shared" si="6"/>
        <v>-1.4025245441794398E-3</v>
      </c>
      <c r="P22" s="11">
        <f>IF(D22="","",D22/MAX($D$2:D22)-1)</f>
        <v>-7.1631804743592542E-2</v>
      </c>
      <c r="Q22" s="11">
        <f>IF(E22="","",E22/MAX($E$2:E22)-1)</f>
        <v>-2.8629268341090142E-2</v>
      </c>
      <c r="R22" s="11">
        <f>IF(H22="","",H22/MAX($H$2:H22)-1)</f>
        <v>0</v>
      </c>
      <c r="S22" s="12">
        <f t="shared" si="12"/>
        <v>110121.02515424775</v>
      </c>
      <c r="T22" s="12">
        <f t="shared" si="7"/>
        <v>129418.06426876268</v>
      </c>
      <c r="U22" s="12">
        <f t="shared" si="8"/>
        <v>124340.81549881129</v>
      </c>
      <c r="V22" s="12">
        <f t="shared" si="13"/>
        <v>102851.80017917803</v>
      </c>
      <c r="W22" s="12">
        <f t="shared" si="9"/>
        <v>120875.01789147075</v>
      </c>
      <c r="X22" s="12">
        <f t="shared" si="10"/>
        <v>116132.92458807516</v>
      </c>
    </row>
    <row r="23" spans="1:24" ht="15" x14ac:dyDescent="0.3">
      <c r="A23" s="10">
        <v>43009</v>
      </c>
      <c r="B23" s="5">
        <v>65.035700000000006</v>
      </c>
      <c r="C23" s="6">
        <v>1271.2</v>
      </c>
      <c r="D23" s="6">
        <v>82297</v>
      </c>
      <c r="E23" s="7">
        <v>10335.299999999999</v>
      </c>
      <c r="F23" s="7">
        <v>2575.2600000000002</v>
      </c>
      <c r="G23" s="8">
        <v>71.7</v>
      </c>
      <c r="H23" s="19">
        <f t="shared" si="0"/>
        <v>167483.83678200003</v>
      </c>
      <c r="I23" s="11">
        <f t="shared" si="1"/>
        <v>8.6572835485245747E-3</v>
      </c>
      <c r="J23" s="11">
        <f t="shared" si="2"/>
        <v>-6.1762176530372193E-3</v>
      </c>
      <c r="K23" s="11">
        <f t="shared" si="3"/>
        <v>-1.4749368482802394E-2</v>
      </c>
      <c r="L23" s="11">
        <f t="shared" si="4"/>
        <v>5.585068344809252E-2</v>
      </c>
      <c r="M23" s="11">
        <f t="shared" si="5"/>
        <v>2.2188174774546043E-2</v>
      </c>
      <c r="N23" s="11">
        <f t="shared" si="11"/>
        <v>3.1037547643518071E-2</v>
      </c>
      <c r="O23" s="11">
        <f t="shared" si="6"/>
        <v>7.0224719101124045E-3</v>
      </c>
      <c r="P23" s="11">
        <f>IF(D23="","",D23/MAX($D$2:D23)-1)</f>
        <v>-8.5324649343143544E-2</v>
      </c>
      <c r="Q23" s="11">
        <f>IF(E23="","",E23/MAX($E$2:E23)-1)</f>
        <v>0</v>
      </c>
      <c r="R23" s="11">
        <f>IF(H23="","",H23/MAX($H$2:H23)-1)</f>
        <v>0</v>
      </c>
      <c r="S23" s="12">
        <f t="shared" si="12"/>
        <v>108496.80957654379</v>
      </c>
      <c r="T23" s="12">
        <f t="shared" si="7"/>
        <v>136646.15160870223</v>
      </c>
      <c r="U23" s="12">
        <f t="shared" si="8"/>
        <v>128200.04948388952</v>
      </c>
      <c r="V23" s="12">
        <f t="shared" si="13"/>
        <v>100628.14277322401</v>
      </c>
      <c r="W23" s="12">
        <f t="shared" si="9"/>
        <v>126735.97045995395</v>
      </c>
      <c r="X23" s="12">
        <f t="shared" si="10"/>
        <v>118902.41688533688</v>
      </c>
    </row>
    <row r="24" spans="1:24" ht="15" x14ac:dyDescent="0.3">
      <c r="A24" s="10">
        <v>43040</v>
      </c>
      <c r="B24" s="5">
        <v>64.843500000000006</v>
      </c>
      <c r="C24" s="6">
        <v>1274.3599999999999</v>
      </c>
      <c r="D24" s="6">
        <v>82175</v>
      </c>
      <c r="E24" s="7">
        <v>10226.549999999999</v>
      </c>
      <c r="F24" s="7">
        <v>2647.58</v>
      </c>
      <c r="G24" s="8">
        <v>72.5</v>
      </c>
      <c r="H24" s="19">
        <f t="shared" si="0"/>
        <v>171678.35373</v>
      </c>
      <c r="I24" s="11">
        <f t="shared" si="1"/>
        <v>-2.9552999352663312E-3</v>
      </c>
      <c r="J24" s="11">
        <f t="shared" si="2"/>
        <v>2.4858401510383654E-3</v>
      </c>
      <c r="K24" s="11">
        <f t="shared" si="3"/>
        <v>-1.4824355687327317E-3</v>
      </c>
      <c r="L24" s="11">
        <f t="shared" si="4"/>
        <v>-1.0522190937853781E-2</v>
      </c>
      <c r="M24" s="11">
        <f t="shared" si="5"/>
        <v>2.8082601368405458E-2</v>
      </c>
      <c r="N24" s="11">
        <f t="shared" si="11"/>
        <v>2.5044308923132919E-2</v>
      </c>
      <c r="O24" s="11">
        <f t="shared" si="6"/>
        <v>1.1157601115760141E-2</v>
      </c>
      <c r="P24" s="11">
        <f>IF(D24="","",D24/MAX($D$2:D24)-1)</f>
        <v>-8.6680596616800387E-2</v>
      </c>
      <c r="Q24" s="11">
        <f>IF(E24="","",E24/MAX($E$2:E24)-1)</f>
        <v>-1.0522190937853781E-2</v>
      </c>
      <c r="R24" s="11">
        <f>IF(H24="","",H24/MAX($H$2:H24)-1)</f>
        <v>0</v>
      </c>
      <c r="S24" s="12">
        <f t="shared" si="12"/>
        <v>108335.97004693351</v>
      </c>
      <c r="T24" s="12">
        <f t="shared" si="7"/>
        <v>135208.33471055256</v>
      </c>
      <c r="U24" s="12">
        <f t="shared" si="8"/>
        <v>131410.73112712498</v>
      </c>
      <c r="V24" s="12">
        <f t="shared" si="13"/>
        <v>99370.234594773487</v>
      </c>
      <c r="W24" s="12">
        <f t="shared" si="9"/>
        <v>124018.67942416201</v>
      </c>
      <c r="X24" s="12">
        <f t="shared" si="10"/>
        <v>120535.36027522499</v>
      </c>
    </row>
    <row r="25" spans="1:24" ht="15" x14ac:dyDescent="0.3">
      <c r="A25" s="10">
        <v>43070</v>
      </c>
      <c r="B25" s="5">
        <v>64.244500000000002</v>
      </c>
      <c r="C25" s="6">
        <v>1302.45</v>
      </c>
      <c r="D25" s="6">
        <v>83135</v>
      </c>
      <c r="E25" s="7">
        <v>10530.7</v>
      </c>
      <c r="F25" s="7">
        <v>2673.61</v>
      </c>
      <c r="G25" s="8">
        <v>72.3</v>
      </c>
      <c r="H25" s="19">
        <f t="shared" si="0"/>
        <v>171764.73764500002</v>
      </c>
      <c r="I25" s="11">
        <f t="shared" si="1"/>
        <v>-9.2376259763893298E-3</v>
      </c>
      <c r="J25" s="11">
        <f t="shared" si="2"/>
        <v>2.2042436987978364E-2</v>
      </c>
      <c r="K25" s="11">
        <f t="shared" si="3"/>
        <v>1.1682385153635622E-2</v>
      </c>
      <c r="L25" s="11">
        <f t="shared" si="4"/>
        <v>2.9741212823484187E-2</v>
      </c>
      <c r="M25" s="11">
        <f t="shared" si="5"/>
        <v>9.8316198188534987E-3</v>
      </c>
      <c r="N25" s="11">
        <f t="shared" si="11"/>
        <v>5.031730158355785E-4</v>
      </c>
      <c r="O25" s="11">
        <f t="shared" si="6"/>
        <v>-2.7586206896552667E-3</v>
      </c>
      <c r="P25" s="11">
        <f>IF(D25="","",D25/MAX($D$2:D25)-1)</f>
        <v>-7.6010847578189211E-2</v>
      </c>
      <c r="Q25" s="11">
        <f>IF(E25="","",E25/MAX($E$2:E25)-1)</f>
        <v>0</v>
      </c>
      <c r="R25" s="11">
        <f>IF(H25="","",H25/MAX($H$2:H25)-1)</f>
        <v>0</v>
      </c>
      <c r="S25" s="12">
        <f t="shared" si="12"/>
        <v>109601.5925750145</v>
      </c>
      <c r="T25" s="12">
        <f t="shared" si="7"/>
        <v>139229.59456868799</v>
      </c>
      <c r="U25" s="12">
        <f t="shared" si="8"/>
        <v>131476.85346101937</v>
      </c>
      <c r="V25" s="12">
        <f t="shared" si="13"/>
        <v>100809.21032141721</v>
      </c>
      <c r="W25" s="12">
        <f t="shared" si="9"/>
        <v>128060.41547465768</v>
      </c>
      <c r="X25" s="12">
        <f t="shared" si="10"/>
        <v>120929.60933828201</v>
      </c>
    </row>
    <row r="26" spans="1:24" ht="15" x14ac:dyDescent="0.3">
      <c r="A26" s="10">
        <v>43101</v>
      </c>
      <c r="B26" s="5">
        <v>63.645200000000003</v>
      </c>
      <c r="C26" s="6">
        <v>1344.7</v>
      </c>
      <c r="D26" s="6">
        <v>85436</v>
      </c>
      <c r="E26" s="7">
        <v>11027.7</v>
      </c>
      <c r="F26" s="7">
        <v>2823.81</v>
      </c>
      <c r="G26" s="8">
        <v>72.099999999999994</v>
      </c>
      <c r="H26" s="19">
        <f t="shared" si="0"/>
        <v>179721.952212</v>
      </c>
      <c r="I26" s="11">
        <f t="shared" si="1"/>
        <v>-9.3284250013619952E-3</v>
      </c>
      <c r="J26" s="11">
        <f t="shared" si="2"/>
        <v>3.243886521555539E-2</v>
      </c>
      <c r="K26" s="11">
        <f t="shared" si="3"/>
        <v>2.7677873338545655E-2</v>
      </c>
      <c r="L26" s="11">
        <f t="shared" si="4"/>
        <v>4.7195343139582402E-2</v>
      </c>
      <c r="M26" s="11">
        <f t="shared" si="5"/>
        <v>5.6178724645703726E-2</v>
      </c>
      <c r="N26" s="11">
        <f t="shared" si="11"/>
        <v>4.6326240624812165E-2</v>
      </c>
      <c r="O26" s="11">
        <f t="shared" si="6"/>
        <v>-2.7662517289073207E-3</v>
      </c>
      <c r="P26" s="11">
        <f>IF(D26="","",D26/MAX($D$2:D26)-1)</f>
        <v>-5.043679285126812E-2</v>
      </c>
      <c r="Q26" s="11">
        <f>IF(E26="","",E26/MAX($E$2:E26)-1)</f>
        <v>0</v>
      </c>
      <c r="R26" s="11">
        <f>IF(H26="","",H26/MAX($H$2:H26)-1)</f>
        <v>0</v>
      </c>
      <c r="S26" s="12">
        <f t="shared" si="12"/>
        <v>112635.13157200864</v>
      </c>
      <c r="T26" s="12">
        <f t="shared" si="7"/>
        <v>145800.58305954214</v>
      </c>
      <c r="U26" s="12">
        <f t="shared" si="8"/>
        <v>137567.68181104772</v>
      </c>
      <c r="V26" s="12">
        <f t="shared" si="13"/>
        <v>103886.77183826041</v>
      </c>
      <c r="W26" s="12">
        <f t="shared" si="9"/>
        <v>134476.26592870391</v>
      </c>
      <c r="X26" s="12">
        <f t="shared" si="10"/>
        <v>126882.81332086927</v>
      </c>
    </row>
    <row r="27" spans="1:24" ht="15" x14ac:dyDescent="0.3">
      <c r="A27" s="10">
        <v>43132</v>
      </c>
      <c r="B27" s="5">
        <v>64.430000000000007</v>
      </c>
      <c r="C27" s="6">
        <v>1317.66</v>
      </c>
      <c r="D27" s="6">
        <v>85917</v>
      </c>
      <c r="E27" s="7">
        <v>10492.85</v>
      </c>
      <c r="F27" s="7">
        <v>2713.83</v>
      </c>
      <c r="G27" s="8">
        <v>71.8</v>
      </c>
      <c r="H27" s="19">
        <f t="shared" si="0"/>
        <v>174852.06690000001</v>
      </c>
      <c r="I27" s="11">
        <f t="shared" si="1"/>
        <v>1.2330859200693878E-2</v>
      </c>
      <c r="J27" s="11">
        <f t="shared" si="2"/>
        <v>-2.0108574403212565E-2</v>
      </c>
      <c r="K27" s="11">
        <f t="shared" si="3"/>
        <v>5.6299452221546531E-3</v>
      </c>
      <c r="L27" s="11">
        <f t="shared" si="4"/>
        <v>-4.8500593958849092E-2</v>
      </c>
      <c r="M27" s="11">
        <f t="shared" si="5"/>
        <v>-3.8947379604151844E-2</v>
      </c>
      <c r="N27" s="11">
        <f t="shared" si="11"/>
        <v>-2.7096775057592781E-2</v>
      </c>
      <c r="O27" s="11">
        <f t="shared" si="6"/>
        <v>-4.1608876560332853E-3</v>
      </c>
      <c r="P27" s="11">
        <f>IF(D27="","",D27/MAX($D$2:D27)-1)</f>
        <v>-4.5090804010047392E-2</v>
      </c>
      <c r="Q27" s="11">
        <f>IF(E27="","",E27/MAX($E$2:E27)-1)</f>
        <v>-4.8500593958849092E-2</v>
      </c>
      <c r="R27" s="11">
        <f>IF(H27="","",H27/MAX($H$2:H27)-1)</f>
        <v>-2.7096775057592781E-2</v>
      </c>
      <c r="S27" s="12">
        <f t="shared" si="12"/>
        <v>113269.26119284923</v>
      </c>
      <c r="T27" s="12">
        <f t="shared" si="7"/>
        <v>138729.16818160785</v>
      </c>
      <c r="U27" s="12">
        <f t="shared" si="8"/>
        <v>133840.04128181926</v>
      </c>
      <c r="V27" s="12">
        <f t="shared" si="13"/>
        <v>104908.15973989519</v>
      </c>
      <c r="W27" s="12">
        <f t="shared" si="9"/>
        <v>128488.71426290978</v>
      </c>
      <c r="X27" s="12">
        <f t="shared" si="10"/>
        <v>123960.4839170053</v>
      </c>
    </row>
    <row r="28" spans="1:24" ht="15" x14ac:dyDescent="0.3">
      <c r="A28" s="10">
        <v>43160</v>
      </c>
      <c r="B28" s="5">
        <v>65.045500000000004</v>
      </c>
      <c r="C28" s="6">
        <v>1324</v>
      </c>
      <c r="D28" s="6">
        <v>86206</v>
      </c>
      <c r="E28" s="7">
        <v>10113.700000000001</v>
      </c>
      <c r="F28" s="7">
        <v>2640.87</v>
      </c>
      <c r="G28" s="8">
        <v>71.900000000000006</v>
      </c>
      <c r="H28" s="19">
        <f t="shared" si="0"/>
        <v>171776.709585</v>
      </c>
      <c r="I28" s="11">
        <f t="shared" si="1"/>
        <v>9.553003259351156E-3</v>
      </c>
      <c r="J28" s="11">
        <f t="shared" si="2"/>
        <v>4.8115598864653109E-3</v>
      </c>
      <c r="K28" s="11">
        <f t="shared" si="3"/>
        <v>3.3637114889952802E-3</v>
      </c>
      <c r="L28" s="11">
        <f t="shared" si="4"/>
        <v>-3.6134129430993478E-2</v>
      </c>
      <c r="M28" s="11">
        <f t="shared" si="5"/>
        <v>-2.6884513768364315E-2</v>
      </c>
      <c r="N28" s="11">
        <f t="shared" si="11"/>
        <v>-1.7588338356668287E-2</v>
      </c>
      <c r="O28" s="11">
        <f t="shared" si="6"/>
        <v>1.3927576601673319E-3</v>
      </c>
      <c r="P28" s="11">
        <f>IF(D28="","",D28/MAX($D$2:D28)-1)</f>
        <v>-4.1878764976548744E-2</v>
      </c>
      <c r="Q28" s="11">
        <f>IF(E28="","",E28/MAX($E$2:E28)-1)</f>
        <v>-8.2882196650253426E-2</v>
      </c>
      <c r="R28" s="11">
        <f>IF(H28="","",H28/MAX($H$2:H28)-1)</f>
        <v>-4.4208526166173545E-2</v>
      </c>
      <c r="S28" s="12">
        <f t="shared" si="12"/>
        <v>113650.26630807362</v>
      </c>
      <c r="T28" s="12">
        <f t="shared" si="7"/>
        <v>133716.31046267957</v>
      </c>
      <c r="U28" s="12">
        <f t="shared" si="8"/>
        <v>131486.01735008418</v>
      </c>
      <c r="V28" s="12">
        <f t="shared" si="13"/>
        <v>105114.64130023499</v>
      </c>
      <c r="W28" s="12">
        <f t="shared" si="9"/>
        <v>123673.63902320154</v>
      </c>
      <c r="X28" s="12">
        <f t="shared" si="10"/>
        <v>121610.85053936853</v>
      </c>
    </row>
    <row r="29" spans="1:24" ht="15" x14ac:dyDescent="0.3">
      <c r="A29" s="10">
        <v>43191</v>
      </c>
      <c r="B29" s="5">
        <v>65.672899999999998</v>
      </c>
      <c r="C29" s="6">
        <v>1314.95</v>
      </c>
      <c r="D29" s="6">
        <v>87378</v>
      </c>
      <c r="E29" s="7">
        <v>10739.35</v>
      </c>
      <c r="F29" s="7">
        <v>2648.05</v>
      </c>
      <c r="G29" s="8">
        <v>72.2</v>
      </c>
      <c r="H29" s="19">
        <f t="shared" si="0"/>
        <v>173905.12284500001</v>
      </c>
      <c r="I29" s="11">
        <f t="shared" si="1"/>
        <v>9.6455558032453315E-3</v>
      </c>
      <c r="J29" s="11">
        <f t="shared" si="2"/>
        <v>-6.8353474320241858E-3</v>
      </c>
      <c r="K29" s="11">
        <f t="shared" si="3"/>
        <v>1.3595341391550386E-2</v>
      </c>
      <c r="L29" s="11">
        <f t="shared" si="4"/>
        <v>6.1861633230172908E-2</v>
      </c>
      <c r="M29" s="11">
        <f t="shared" si="5"/>
        <v>2.718801001185378E-3</v>
      </c>
      <c r="N29" s="11">
        <f t="shared" si="11"/>
        <v>1.2390581151205504E-2</v>
      </c>
      <c r="O29" s="11">
        <f t="shared" si="6"/>
        <v>4.1724617524339092E-3</v>
      </c>
      <c r="P29" s="11">
        <f>IF(D29="","",D29/MAX($D$2:D29)-1)</f>
        <v>-2.8852779691911024E-2</v>
      </c>
      <c r="Q29" s="11">
        <f>IF(E29="","",E29/MAX($E$2:E29)-1)</f>
        <v>-2.6147791470569559E-2</v>
      </c>
      <c r="R29" s="11">
        <f>IF(H29="","",H29/MAX($H$2:H29)-1)</f>
        <v>-3.2365714346005214E-2</v>
      </c>
      <c r="S29" s="12">
        <f t="shared" si="12"/>
        <v>115195.3804777725</v>
      </c>
      <c r="T29" s="12">
        <f t="shared" si="7"/>
        <v>141988.21981741377</v>
      </c>
      <c r="U29" s="12">
        <f t="shared" si="8"/>
        <v>133115.2055183092</v>
      </c>
      <c r="V29" s="12">
        <f t="shared" si="13"/>
        <v>106101.00833479046</v>
      </c>
      <c r="W29" s="12">
        <f t="shared" si="9"/>
        <v>130778.62351603901</v>
      </c>
      <c r="X29" s="12">
        <f t="shared" si="10"/>
        <v>122606.1103458111</v>
      </c>
    </row>
    <row r="30" spans="1:24" ht="15" x14ac:dyDescent="0.3">
      <c r="A30" s="10">
        <v>43221</v>
      </c>
      <c r="B30" s="5">
        <v>67.510000000000005</v>
      </c>
      <c r="C30" s="6">
        <v>1297.92</v>
      </c>
      <c r="D30" s="6">
        <v>87477</v>
      </c>
      <c r="E30" s="7">
        <v>10736.15</v>
      </c>
      <c r="F30" s="7">
        <v>2705.27</v>
      </c>
      <c r="G30" s="8">
        <v>72.599999999999994</v>
      </c>
      <c r="H30" s="19">
        <f t="shared" si="0"/>
        <v>182632.77770000001</v>
      </c>
      <c r="I30" s="11">
        <f t="shared" si="1"/>
        <v>2.7973486780696444E-2</v>
      </c>
      <c r="J30" s="11">
        <f t="shared" si="2"/>
        <v>-1.2951062778052358E-2</v>
      </c>
      <c r="K30" s="11">
        <f t="shared" si="3"/>
        <v>1.1330083087275344E-3</v>
      </c>
      <c r="L30" s="11">
        <f t="shared" si="4"/>
        <v>-2.9796961641070929E-4</v>
      </c>
      <c r="M30" s="11">
        <f t="shared" si="5"/>
        <v>2.1608353316591389E-2</v>
      </c>
      <c r="N30" s="11">
        <f t="shared" si="11"/>
        <v>5.018630108314226E-2</v>
      </c>
      <c r="O30" s="11">
        <f t="shared" si="6"/>
        <v>5.5401662049860967E-3</v>
      </c>
      <c r="P30" s="11">
        <f>IF(D30="","",D30/MAX($D$2:D30)-1)</f>
        <v>-2.7752461822304175E-2</v>
      </c>
      <c r="Q30" s="11">
        <f>IF(E30="","",E30/MAX($E$2:E30)-1)</f>
        <v>-2.6437969839585906E-2</v>
      </c>
      <c r="R30" s="11">
        <f>IF(H30="","",H30/MAX($H$2:H30)-1)</f>
        <v>0</v>
      </c>
      <c r="S30" s="12">
        <f t="shared" si="12"/>
        <v>115325.89780098086</v>
      </c>
      <c r="T30" s="12">
        <f t="shared" si="7"/>
        <v>141945.91164201996</v>
      </c>
      <c r="U30" s="12">
        <f t="shared" si="8"/>
        <v>139795.76530119541</v>
      </c>
      <c r="V30" s="12">
        <f t="shared" si="13"/>
        <v>105635.98076811609</v>
      </c>
      <c r="W30" s="12">
        <f t="shared" si="9"/>
        <v>130019.3267795362</v>
      </c>
      <c r="X30" s="12">
        <f t="shared" si="10"/>
        <v>128049.84011748616</v>
      </c>
    </row>
    <row r="31" spans="1:24" ht="15" x14ac:dyDescent="0.3">
      <c r="A31" s="10">
        <v>43252</v>
      </c>
      <c r="B31" s="5">
        <v>67.790000000000006</v>
      </c>
      <c r="C31" s="6">
        <v>1252.25</v>
      </c>
      <c r="D31" s="6">
        <v>85717</v>
      </c>
      <c r="E31" s="7">
        <v>10714.3</v>
      </c>
      <c r="F31" s="7">
        <v>2718.37</v>
      </c>
      <c r="G31" s="8">
        <v>72.900000000000006</v>
      </c>
      <c r="H31" s="19">
        <f t="shared" si="0"/>
        <v>184278.30230000001</v>
      </c>
      <c r="I31" s="11">
        <f t="shared" si="1"/>
        <v>4.1475336987113476E-3</v>
      </c>
      <c r="J31" s="11">
        <f t="shared" si="2"/>
        <v>-3.5187068540433963E-2</v>
      </c>
      <c r="K31" s="11">
        <f t="shared" si="3"/>
        <v>-2.0119574288098629E-2</v>
      </c>
      <c r="L31" s="11">
        <f t="shared" si="4"/>
        <v>-2.0351802089203508E-3</v>
      </c>
      <c r="M31" s="11">
        <f t="shared" si="5"/>
        <v>4.8424002040461378E-3</v>
      </c>
      <c r="N31" s="11">
        <f t="shared" si="11"/>
        <v>9.0100179207863729E-3</v>
      </c>
      <c r="O31" s="11">
        <f t="shared" si="6"/>
        <v>4.1322314049587749E-3</v>
      </c>
      <c r="P31" s="11">
        <f>IF(D31="","",D31/MAX($D$2:D31)-1)</f>
        <v>-4.7313668393091368E-2</v>
      </c>
      <c r="Q31" s="11">
        <f>IF(E31="","",E31/MAX($E$2:E31)-1)</f>
        <v>-2.8419344015524706E-2</v>
      </c>
      <c r="R31" s="11">
        <f>IF(H31="","",H31/MAX($H$2:H31)-1)</f>
        <v>0</v>
      </c>
      <c r="S31" s="12">
        <f t="shared" si="12"/>
        <v>113005.58983283235</v>
      </c>
      <c r="T31" s="12">
        <f t="shared" si="7"/>
        <v>141657.02613190893</v>
      </c>
      <c r="U31" s="12">
        <f t="shared" si="8"/>
        <v>141055.32765180923</v>
      </c>
      <c r="V31" s="12">
        <f t="shared" si="13"/>
        <v>103084.66013557409</v>
      </c>
      <c r="W31" s="12">
        <f t="shared" si="9"/>
        <v>129220.74400235861</v>
      </c>
      <c r="X31" s="12">
        <f t="shared" si="10"/>
        <v>128671.86953148578</v>
      </c>
    </row>
    <row r="32" spans="1:24" ht="15" x14ac:dyDescent="0.3">
      <c r="A32" s="10">
        <v>43282</v>
      </c>
      <c r="B32" s="5">
        <v>68.686700000000002</v>
      </c>
      <c r="C32" s="6">
        <v>1223.4100000000001</v>
      </c>
      <c r="D32" s="6">
        <v>83742</v>
      </c>
      <c r="E32" s="7">
        <v>11356.5</v>
      </c>
      <c r="F32" s="7">
        <v>2816.29</v>
      </c>
      <c r="G32" s="8">
        <v>73.599999999999994</v>
      </c>
      <c r="H32" s="19">
        <f t="shared" si="0"/>
        <v>193441.66634299999</v>
      </c>
      <c r="I32" s="11">
        <f t="shared" si="1"/>
        <v>1.3227614692432388E-2</v>
      </c>
      <c r="J32" s="11">
        <f t="shared" si="2"/>
        <v>-2.3030545018965842E-2</v>
      </c>
      <c r="K32" s="11">
        <f t="shared" si="3"/>
        <v>-2.3040937036993836E-2</v>
      </c>
      <c r="L32" s="11">
        <f t="shared" si="4"/>
        <v>5.9938586748551126E-2</v>
      </c>
      <c r="M32" s="11">
        <f t="shared" si="5"/>
        <v>3.6021586465418753E-2</v>
      </c>
      <c r="N32" s="11">
        <f t="shared" si="11"/>
        <v>4.9725680824225682E-2</v>
      </c>
      <c r="O32" s="11">
        <f t="shared" si="6"/>
        <v>9.6021947873798918E-3</v>
      </c>
      <c r="P32" s="11">
        <f>IF(D32="","",D32/MAX($D$2:D32)-1)</f>
        <v>-6.9264454175650747E-2</v>
      </c>
      <c r="Q32" s="11">
        <f>IF(E32="","",E32/MAX($E$2:E32)-1)</f>
        <v>0</v>
      </c>
      <c r="R32" s="11">
        <f>IF(H32="","",H32/MAX($H$2:H32)-1)</f>
        <v>0</v>
      </c>
      <c r="S32" s="12">
        <f t="shared" si="12"/>
        <v>110401.83515266572</v>
      </c>
      <c r="T32" s="12">
        <f t="shared" si="7"/>
        <v>150147.74808125815</v>
      </c>
      <c r="U32" s="12">
        <f t="shared" si="8"/>
        <v>148069.3998531797</v>
      </c>
      <c r="V32" s="12">
        <f t="shared" si="13"/>
        <v>99751.658120275431</v>
      </c>
      <c r="W32" s="12">
        <f t="shared" si="9"/>
        <v>135663.38651363677</v>
      </c>
      <c r="X32" s="12">
        <f t="shared" si="10"/>
        <v>133785.53111734308</v>
      </c>
    </row>
    <row r="33" spans="1:24" ht="15" x14ac:dyDescent="0.3">
      <c r="A33" s="10">
        <v>43313</v>
      </c>
      <c r="B33" s="5">
        <v>69.631699999999995</v>
      </c>
      <c r="C33" s="6">
        <v>1200.71</v>
      </c>
      <c r="D33" s="6">
        <v>85250</v>
      </c>
      <c r="E33" s="7">
        <v>11680.5</v>
      </c>
      <c r="F33" s="7">
        <v>2901.52</v>
      </c>
      <c r="G33" s="8">
        <v>73.900000000000006</v>
      </c>
      <c r="H33" s="19">
        <f t="shared" si="0"/>
        <v>202037.77018399999</v>
      </c>
      <c r="I33" s="11">
        <f t="shared" si="1"/>
        <v>1.3758122023623143E-2</v>
      </c>
      <c r="J33" s="11">
        <f t="shared" si="2"/>
        <v>-1.8554695482299488E-2</v>
      </c>
      <c r="K33" s="11">
        <f t="shared" si="3"/>
        <v>1.8007690286833355E-2</v>
      </c>
      <c r="L33" s="11">
        <f t="shared" si="4"/>
        <v>2.8529916787742637E-2</v>
      </c>
      <c r="M33" s="11">
        <f t="shared" si="5"/>
        <v>3.0263218631604083E-2</v>
      </c>
      <c r="N33" s="11">
        <f t="shared" si="11"/>
        <v>4.4437705709988506E-2</v>
      </c>
      <c r="O33" s="11">
        <f t="shared" si="6"/>
        <v>4.0760869565219515E-3</v>
      </c>
      <c r="P33" s="11">
        <f>IF(D33="","",D33/MAX($D$2:D33)-1)</f>
        <v>-5.2504056727499027E-2</v>
      </c>
      <c r="Q33" s="11">
        <f>IF(E33="","",E33/MAX($E$2:E33)-1)</f>
        <v>0</v>
      </c>
      <c r="R33" s="11">
        <f>IF(H33="","",H33/MAX($H$2:H33)-1)</f>
        <v>0</v>
      </c>
      <c r="S33" s="12">
        <f t="shared" si="12"/>
        <v>112389.91720719295</v>
      </c>
      <c r="T33" s="12">
        <f t="shared" si="7"/>
        <v>154431.45083988339</v>
      </c>
      <c r="U33" s="12">
        <f t="shared" si="8"/>
        <v>154649.26426850987</v>
      </c>
      <c r="V33" s="12">
        <f t="shared" si="13"/>
        <v>101135.71710796117</v>
      </c>
      <c r="W33" s="12">
        <f t="shared" si="9"/>
        <v>138967.40840124822</v>
      </c>
      <c r="X33" s="12">
        <f t="shared" si="10"/>
        <v>139163.41101293513</v>
      </c>
    </row>
    <row r="34" spans="1:24" ht="15" x14ac:dyDescent="0.3">
      <c r="A34" s="10">
        <v>43344</v>
      </c>
      <c r="B34" s="5">
        <v>72.277900000000002</v>
      </c>
      <c r="C34" s="6">
        <v>1191.69</v>
      </c>
      <c r="D34" s="6">
        <v>86398</v>
      </c>
      <c r="E34" s="7">
        <v>10930.45</v>
      </c>
      <c r="F34" s="7">
        <v>2913.98</v>
      </c>
      <c r="G34" s="8">
        <v>73.8</v>
      </c>
      <c r="H34" s="19">
        <f t="shared" si="0"/>
        <v>210616.35504200001</v>
      </c>
      <c r="I34" s="11">
        <f t="shared" si="1"/>
        <v>3.8002806193156324E-2</v>
      </c>
      <c r="J34" s="11">
        <f t="shared" si="2"/>
        <v>-7.5122219353549458E-3</v>
      </c>
      <c r="K34" s="11">
        <f t="shared" si="3"/>
        <v>1.3466275659824056E-2</v>
      </c>
      <c r="L34" s="11">
        <f t="shared" si="4"/>
        <v>-6.42138607080176E-2</v>
      </c>
      <c r="M34" s="11">
        <f t="shared" si="5"/>
        <v>4.2943009181395375E-3</v>
      </c>
      <c r="N34" s="11">
        <f t="shared" si="11"/>
        <v>4.2460302596822874E-2</v>
      </c>
      <c r="O34" s="11">
        <f t="shared" si="6"/>
        <v>-1.3531799729364913E-3</v>
      </c>
      <c r="P34" s="11">
        <f>IF(D34="","",D34/MAX($D$2:D34)-1)</f>
        <v>-3.9744815168826553E-2</v>
      </c>
      <c r="Q34" s="11">
        <f>IF(E34="","",E34/MAX($E$2:E34)-1)</f>
        <v>-6.42138607080176E-2</v>
      </c>
      <c r="R34" s="11">
        <f>IF(H34="","",H34/MAX($H$2:H34)-1)</f>
        <v>0</v>
      </c>
      <c r="S34" s="12">
        <f t="shared" si="12"/>
        <v>113903.39081368981</v>
      </c>
      <c r="T34" s="12">
        <f t="shared" si="7"/>
        <v>144514.81116671403</v>
      </c>
      <c r="U34" s="12">
        <f t="shared" si="8"/>
        <v>161215.71882572686</v>
      </c>
      <c r="V34" s="12">
        <f t="shared" si="13"/>
        <v>102636.52424268797</v>
      </c>
      <c r="W34" s="12">
        <f t="shared" si="9"/>
        <v>130219.98567190357</v>
      </c>
      <c r="X34" s="12">
        <f t="shared" si="10"/>
        <v>145268.90652995714</v>
      </c>
    </row>
    <row r="35" spans="1:24" ht="15" x14ac:dyDescent="0.3">
      <c r="A35" s="10">
        <v>43374</v>
      </c>
      <c r="B35" s="5">
        <v>73.560900000000004</v>
      </c>
      <c r="C35" s="6">
        <v>1214.1400000000001</v>
      </c>
      <c r="D35" s="6">
        <v>89774</v>
      </c>
      <c r="E35" s="7">
        <v>10386.6</v>
      </c>
      <c r="F35" s="7">
        <v>2711.74</v>
      </c>
      <c r="G35" s="8">
        <v>74.099999999999994</v>
      </c>
      <c r="H35" s="19">
        <f t="shared" si="0"/>
        <v>199478.03496600001</v>
      </c>
      <c r="I35" s="11">
        <f t="shared" ref="I35:I66" si="14">IF(OR(B35="",B34=""),"",B35/B34-1)</f>
        <v>1.775093078243839E-2</v>
      </c>
      <c r="J35" s="11">
        <f t="shared" ref="J35:J66" si="15">IF(OR(C35="",C34=""),"",C35/C34-1)</f>
        <v>1.8838791967709767E-2</v>
      </c>
      <c r="K35" s="11">
        <f t="shared" ref="K35:K66" si="16">IF(OR(D35="",D34=""),"",D35/D34-1)</f>
        <v>3.9074978587467335E-2</v>
      </c>
      <c r="L35" s="11">
        <f t="shared" ref="L35:L66" si="17">IF(OR(E35="",E34=""),"",E35/E34-1)</f>
        <v>-4.975549954484948E-2</v>
      </c>
      <c r="M35" s="11">
        <f t="shared" ref="M35:M66" si="18">IF(OR(F35="",F34=""),"",F35/F34-1)</f>
        <v>-6.9403358979814644E-2</v>
      </c>
      <c r="N35" s="11">
        <f t="shared" ref="N35:N66" si="19">IF(OR(H35="",H34=""),"",H35/H34-1)</f>
        <v>-5.2884402418695631E-2</v>
      </c>
      <c r="O35" s="11">
        <f t="shared" ref="O35:O66" si="20">IF(OR(G35="",G34=""),"",G35/G34-1)</f>
        <v>4.0650406504063596E-3</v>
      </c>
      <c r="P35" s="11">
        <f>IF(D35="","",D35/MAX($D$2:D35)-1)</f>
        <v>-2.2228643830439765E-3</v>
      </c>
      <c r="Q35" s="11">
        <f>IF(E35="","",E35/MAX($E$2:E35)-1)</f>
        <v>-0.1107743675356363</v>
      </c>
      <c r="R35" s="11">
        <f>IF(H35="","",H35/MAX($H$2:H35)-1)</f>
        <v>-5.2884402418695631E-2</v>
      </c>
      <c r="S35" s="12">
        <f t="shared" si="12"/>
        <v>118354.16337077467</v>
      </c>
      <c r="T35" s="12">
        <f t="shared" ref="T35:T66" si="21">IF(E35="","",100000*E35/$E$2)</f>
        <v>137324.40454548458</v>
      </c>
      <c r="U35" s="12">
        <f t="shared" ref="U35:U66" si="22">IF(H35="","",100000*H35/$H$2)</f>
        <v>152689.92187512785</v>
      </c>
      <c r="V35" s="12">
        <f t="shared" si="13"/>
        <v>106215.27481992599</v>
      </c>
      <c r="W35" s="12">
        <f t="shared" ref="W35:W66" si="23">IF(OR(T35="",G35="",$G$2=""),"",T35*$G$2/G35)</f>
        <v>123239.85023312719</v>
      </c>
      <c r="X35" s="12">
        <f t="shared" ref="X35:X66" si="24">IF(OR(U35="",G35="",$G$2=""),"",U35*$G$2/G35)</f>
        <v>137029.41706742244</v>
      </c>
    </row>
    <row r="36" spans="1:24" ht="15" x14ac:dyDescent="0.3">
      <c r="A36" s="10">
        <v>43405</v>
      </c>
      <c r="B36" s="5">
        <v>71.738</v>
      </c>
      <c r="C36" s="6">
        <v>1221.8800000000001</v>
      </c>
      <c r="D36" s="6">
        <v>85092</v>
      </c>
      <c r="E36" s="7">
        <v>10876.75</v>
      </c>
      <c r="F36" s="7">
        <v>2760.17</v>
      </c>
      <c r="G36" s="8">
        <v>74.2</v>
      </c>
      <c r="H36" s="19">
        <f t="shared" si="0"/>
        <v>198009.07545999999</v>
      </c>
      <c r="I36" s="11">
        <f t="shared" si="14"/>
        <v>-2.4780827858278065E-2</v>
      </c>
      <c r="J36" s="11">
        <f t="shared" si="15"/>
        <v>6.3748826329748098E-3</v>
      </c>
      <c r="K36" s="11">
        <f t="shared" si="16"/>
        <v>-5.2153184663711105E-2</v>
      </c>
      <c r="L36" s="11">
        <f t="shared" si="17"/>
        <v>4.7190610979531256E-2</v>
      </c>
      <c r="M36" s="11">
        <f t="shared" si="18"/>
        <v>1.785938179914015E-2</v>
      </c>
      <c r="N36" s="11">
        <f t="shared" si="19"/>
        <v>-7.3640163251577073E-3</v>
      </c>
      <c r="O36" s="11">
        <f t="shared" si="20"/>
        <v>1.3495276653172628E-3</v>
      </c>
      <c r="P36" s="11">
        <f>IF(D36="","",D36/MAX($D$2:D36)-1)</f>
        <v>-5.4260119590103795E-2</v>
      </c>
      <c r="Q36" s="11">
        <f>IF(E36="","",E36/MAX($E$2:E36)-1)</f>
        <v>-6.8811266640982804E-2</v>
      </c>
      <c r="R36" s="11">
        <f>IF(H36="","",H36/MAX($H$2:H36)-1)</f>
        <v>-5.9858977141095893E-2</v>
      </c>
      <c r="S36" s="12">
        <f t="shared" si="12"/>
        <v>112181.61683277962</v>
      </c>
      <c r="T36" s="12">
        <f t="shared" si="21"/>
        <v>143804.82709838633</v>
      </c>
      <c r="U36" s="12">
        <f t="shared" si="22"/>
        <v>151565.51079775233</v>
      </c>
      <c r="V36" s="12">
        <f t="shared" si="13"/>
        <v>100540.12829352891</v>
      </c>
      <c r="W36" s="12">
        <f t="shared" si="23"/>
        <v>128881.68466364811</v>
      </c>
      <c r="X36" s="12">
        <f t="shared" si="24"/>
        <v>135837.01439421199</v>
      </c>
    </row>
    <row r="37" spans="1:24" ht="15" x14ac:dyDescent="0.3">
      <c r="A37" s="10">
        <v>43435</v>
      </c>
      <c r="B37" s="5">
        <v>70.833100000000002</v>
      </c>
      <c r="C37" s="6">
        <v>1282.73</v>
      </c>
      <c r="D37" s="6">
        <v>89188</v>
      </c>
      <c r="E37" s="7">
        <v>10862.55</v>
      </c>
      <c r="F37" s="7">
        <v>2506.85</v>
      </c>
      <c r="G37" s="8">
        <v>73.8</v>
      </c>
      <c r="H37" s="19">
        <f t="shared" si="0"/>
        <v>177567.95673499999</v>
      </c>
      <c r="I37" s="11">
        <f t="shared" si="14"/>
        <v>-1.2613956341130161E-2</v>
      </c>
      <c r="J37" s="11">
        <f t="shared" si="15"/>
        <v>4.9800307722525972E-2</v>
      </c>
      <c r="K37" s="11">
        <f t="shared" si="16"/>
        <v>4.8136135006816128E-2</v>
      </c>
      <c r="L37" s="11">
        <f t="shared" si="17"/>
        <v>-1.3055370400165689E-3</v>
      </c>
      <c r="M37" s="11">
        <f t="shared" si="18"/>
        <v>-9.1776955767217339E-2</v>
      </c>
      <c r="N37" s="11">
        <f t="shared" si="19"/>
        <v>-0.10323324159517799</v>
      </c>
      <c r="O37" s="11">
        <f t="shared" si="20"/>
        <v>-5.3908355795149188E-3</v>
      </c>
      <c r="P37" s="11">
        <f>IF(D37="","",D37/MAX($D$2:D37)-1)</f>
        <v>-8.7358570253628365E-3</v>
      </c>
      <c r="Q37" s="11">
        <f>IF(E37="","",E37/MAX($E$2:E37)-1)</f>
        <v>-7.0026968023629177E-2</v>
      </c>
      <c r="R37" s="11">
        <f>IF(H37="","",H37/MAX($H$2:H37)-1)</f>
        <v>-0.15691278248742691</v>
      </c>
      <c r="S37" s="12">
        <f t="shared" si="12"/>
        <v>117581.60628592523</v>
      </c>
      <c r="T37" s="12">
        <f t="shared" si="21"/>
        <v>143617.08457007623</v>
      </c>
      <c r="U37" s="12">
        <f t="shared" si="22"/>
        <v>135918.91180407142</v>
      </c>
      <c r="V37" s="12">
        <f t="shared" si="13"/>
        <v>105950.90539314401</v>
      </c>
      <c r="W37" s="12">
        <f t="shared" si="23"/>
        <v>129411.05858956734</v>
      </c>
      <c r="X37" s="12">
        <f t="shared" si="24"/>
        <v>122474.35819743562</v>
      </c>
    </row>
    <row r="38" spans="1:24" ht="15" x14ac:dyDescent="0.3">
      <c r="A38" s="10">
        <v>43466</v>
      </c>
      <c r="B38" s="5">
        <v>70.709999999999994</v>
      </c>
      <c r="C38" s="6">
        <v>1320.56</v>
      </c>
      <c r="D38" s="6">
        <v>93750</v>
      </c>
      <c r="E38" s="7">
        <v>10830.95</v>
      </c>
      <c r="F38" s="7">
        <v>2704.1</v>
      </c>
      <c r="G38" s="8">
        <v>73.5</v>
      </c>
      <c r="H38" s="19">
        <f t="shared" si="0"/>
        <v>191206.91099999996</v>
      </c>
      <c r="I38" s="11">
        <f t="shared" si="14"/>
        <v>-1.7378880777491057E-3</v>
      </c>
      <c r="J38" s="11">
        <f t="shared" si="15"/>
        <v>2.9491787047936757E-2</v>
      </c>
      <c r="K38" s="11">
        <f t="shared" si="16"/>
        <v>5.1150378974750055E-2</v>
      </c>
      <c r="L38" s="11">
        <f t="shared" si="17"/>
        <v>-2.909077518630343E-3</v>
      </c>
      <c r="M38" s="11">
        <f t="shared" si="18"/>
        <v>7.8684404731036883E-2</v>
      </c>
      <c r="N38" s="11">
        <f t="shared" si="19"/>
        <v>7.6809771964400975E-2</v>
      </c>
      <c r="O38" s="11">
        <f t="shared" si="20"/>
        <v>-4.0650406504064707E-3</v>
      </c>
      <c r="P38" s="11">
        <f>IF(D38="","",D38/MAX($D$2:D38)-1)</f>
        <v>0</v>
      </c>
      <c r="Q38" s="11">
        <f>IF(E38="","",E38/MAX($E$2:E38)-1)</f>
        <v>-7.2732331663884153E-2</v>
      </c>
      <c r="R38" s="11">
        <f>IF(H38="","",H38/MAX($H$2:H38)-1)</f>
        <v>-9.2155445564184757E-2</v>
      </c>
      <c r="S38" s="12">
        <f t="shared" si="12"/>
        <v>123595.95000791014</v>
      </c>
      <c r="T38" s="12">
        <f t="shared" si="21"/>
        <v>143199.29133806215</v>
      </c>
      <c r="U38" s="12">
        <f t="shared" si="22"/>
        <v>146358.81242539166</v>
      </c>
      <c r="V38" s="12">
        <f t="shared" si="13"/>
        <v>111824.90715001394</v>
      </c>
      <c r="W38" s="12">
        <f t="shared" si="23"/>
        <v>129561.26359158005</v>
      </c>
      <c r="X38" s="12">
        <f t="shared" si="24"/>
        <v>132419.87790868769</v>
      </c>
    </row>
    <row r="39" spans="1:24" ht="15" x14ac:dyDescent="0.3">
      <c r="A39" s="10">
        <v>43497</v>
      </c>
      <c r="B39" s="5">
        <v>71.173900000000003</v>
      </c>
      <c r="C39" s="6">
        <v>1312.66</v>
      </c>
      <c r="D39" s="6">
        <v>93012</v>
      </c>
      <c r="E39" s="7">
        <v>10792.5</v>
      </c>
      <c r="F39" s="7">
        <v>2784.49</v>
      </c>
      <c r="G39" s="8">
        <v>73.7</v>
      </c>
      <c r="H39" s="19">
        <f t="shared" si="0"/>
        <v>198183.01281099999</v>
      </c>
      <c r="I39" s="11">
        <f t="shared" si="14"/>
        <v>6.5605996323010451E-3</v>
      </c>
      <c r="J39" s="11">
        <f t="shared" si="15"/>
        <v>-5.9823105349244843E-3</v>
      </c>
      <c r="K39" s="11">
        <f t="shared" si="16"/>
        <v>-7.8719999999999901E-3</v>
      </c>
      <c r="L39" s="11">
        <f t="shared" si="17"/>
        <v>-3.5500117718206825E-3</v>
      </c>
      <c r="M39" s="11">
        <f t="shared" si="18"/>
        <v>2.9728930143116061E-2</v>
      </c>
      <c r="N39" s="11">
        <f t="shared" si="19"/>
        <v>3.6484569383582688E-2</v>
      </c>
      <c r="O39" s="11">
        <f t="shared" si="20"/>
        <v>2.7210884353741083E-3</v>
      </c>
      <c r="P39" s="11">
        <f>IF(D39="","",D39/MAX($D$2:D39)-1)</f>
        <v>-7.8719999999999901E-3</v>
      </c>
      <c r="Q39" s="11">
        <f>IF(E39="","",E39/MAX($E$2:E39)-1)</f>
        <v>-7.6024142802106121E-2</v>
      </c>
      <c r="R39" s="11">
        <f>IF(H39="","",H39/MAX($H$2:H39)-1)</f>
        <v>-5.9033127928363571E-2</v>
      </c>
      <c r="S39" s="12">
        <f t="shared" si="12"/>
        <v>122623.00268944787</v>
      </c>
      <c r="T39" s="12">
        <f t="shared" si="21"/>
        <v>142690.93216809566</v>
      </c>
      <c r="U39" s="12">
        <f t="shared" si="22"/>
        <v>151698.65067222464</v>
      </c>
      <c r="V39" s="12">
        <f t="shared" si="13"/>
        <v>110643.55059495635</v>
      </c>
      <c r="W39" s="12">
        <f t="shared" si="23"/>
        <v>128750.97678668061</v>
      </c>
      <c r="X39" s="12">
        <f t="shared" si="24"/>
        <v>136878.701081451</v>
      </c>
    </row>
    <row r="40" spans="1:24" ht="15" x14ac:dyDescent="0.3">
      <c r="A40" s="10">
        <v>43525</v>
      </c>
      <c r="B40" s="5">
        <v>69.489500000000007</v>
      </c>
      <c r="C40" s="6">
        <v>1291.9000000000001</v>
      </c>
      <c r="D40" s="6">
        <v>89374</v>
      </c>
      <c r="E40" s="7">
        <v>11623.9</v>
      </c>
      <c r="F40" s="7">
        <v>2834.4</v>
      </c>
      <c r="G40" s="8">
        <v>73.900000000000006</v>
      </c>
      <c r="H40" s="19">
        <f t="shared" si="0"/>
        <v>196961.03880000004</v>
      </c>
      <c r="I40" s="11">
        <f t="shared" si="14"/>
        <v>-2.3665978680387001E-2</v>
      </c>
      <c r="J40" s="11">
        <f t="shared" si="15"/>
        <v>-1.5815214907135111E-2</v>
      </c>
      <c r="K40" s="11">
        <f t="shared" si="16"/>
        <v>-3.9113232701156853E-2</v>
      </c>
      <c r="L40" s="11">
        <f t="shared" si="17"/>
        <v>7.7034977993977183E-2</v>
      </c>
      <c r="M40" s="11">
        <f t="shared" si="18"/>
        <v>1.7924287751078349E-2</v>
      </c>
      <c r="N40" s="11">
        <f t="shared" si="19"/>
        <v>-6.1658867410866458E-3</v>
      </c>
      <c r="O40" s="11">
        <f t="shared" si="20"/>
        <v>2.7137042062415073E-3</v>
      </c>
      <c r="P40" s="11">
        <f>IF(D40="","",D40/MAX($D$2:D40)-1)</f>
        <v>-4.6677333333333348E-2</v>
      </c>
      <c r="Q40" s="11">
        <f>IF(E40="","",E40/MAX($E$2:E40)-1)</f>
        <v>-4.8456829759000453E-3</v>
      </c>
      <c r="R40" s="11">
        <f>IF(H40="","",H40/MAX($H$2:H40)-1)</f>
        <v>-6.4835023088671839E-2</v>
      </c>
      <c r="S40" s="12">
        <f t="shared" si="12"/>
        <v>117826.82065074092</v>
      </c>
      <c r="T40" s="12">
        <f t="shared" si="21"/>
        <v>153683.12498760503</v>
      </c>
      <c r="U40" s="12">
        <f t="shared" si="22"/>
        <v>150763.29397340404</v>
      </c>
      <c r="V40" s="12">
        <f t="shared" si="13"/>
        <v>106028.19449626889</v>
      </c>
      <c r="W40" s="12">
        <f t="shared" si="23"/>
        <v>138294.01639615337</v>
      </c>
      <c r="X40" s="12">
        <f t="shared" si="24"/>
        <v>135666.56358905777</v>
      </c>
    </row>
    <row r="41" spans="1:24" ht="15" x14ac:dyDescent="0.3">
      <c r="A41" s="10">
        <v>43556</v>
      </c>
      <c r="B41" s="5">
        <v>69.406800000000004</v>
      </c>
      <c r="C41" s="6">
        <v>1283.3499999999999</v>
      </c>
      <c r="D41" s="6">
        <v>89367</v>
      </c>
      <c r="E41" s="7">
        <v>11748.15</v>
      </c>
      <c r="F41" s="7">
        <v>2945.83</v>
      </c>
      <c r="G41" s="8">
        <v>74.400000000000006</v>
      </c>
      <c r="H41" s="19">
        <f t="shared" si="0"/>
        <v>204460.63364400002</v>
      </c>
      <c r="I41" s="11">
        <f t="shared" si="14"/>
        <v>-1.1901078580217606E-3</v>
      </c>
      <c r="J41" s="11">
        <f t="shared" si="15"/>
        <v>-6.618159300255555E-3</v>
      </c>
      <c r="K41" s="11">
        <f t="shared" si="16"/>
        <v>-7.832255465800575E-5</v>
      </c>
      <c r="L41" s="11">
        <f t="shared" si="17"/>
        <v>1.0689183492631482E-2</v>
      </c>
      <c r="M41" s="11">
        <f t="shared" si="18"/>
        <v>3.9313434942139347E-2</v>
      </c>
      <c r="N41" s="11">
        <f t="shared" si="19"/>
        <v>3.8076539856267022E-2</v>
      </c>
      <c r="O41" s="11">
        <f t="shared" si="20"/>
        <v>6.7658998646820123E-3</v>
      </c>
      <c r="P41" s="11">
        <f>IF(D41="","",D41/MAX($D$2:D41)-1)</f>
        <v>-4.6752000000000016E-2</v>
      </c>
      <c r="Q41" s="11">
        <f>IF(E41="","",E41/MAX($E$2:E41)-1)</f>
        <v>0</v>
      </c>
      <c r="R41" s="11">
        <f>IF(H41="","",H41/MAX($H$2:H41)-1)</f>
        <v>-2.922717657312246E-2</v>
      </c>
      <c r="S41" s="12">
        <f t="shared" si="12"/>
        <v>117817.59215314033</v>
      </c>
      <c r="T41" s="12">
        <f t="shared" si="21"/>
        <v>155325.87211031857</v>
      </c>
      <c r="U41" s="12">
        <f t="shared" si="22"/>
        <v>156503.83854524448</v>
      </c>
      <c r="V41" s="12">
        <f t="shared" si="13"/>
        <v>105307.39083580418</v>
      </c>
      <c r="W41" s="12">
        <f t="shared" si="23"/>
        <v>138832.9367652713</v>
      </c>
      <c r="X41" s="12">
        <f t="shared" si="24"/>
        <v>139885.82343089726</v>
      </c>
    </row>
    <row r="42" spans="1:24" ht="15" x14ac:dyDescent="0.3">
      <c r="A42" s="10">
        <v>43586</v>
      </c>
      <c r="B42" s="5">
        <v>69.782700000000006</v>
      </c>
      <c r="C42" s="6">
        <v>1305.25</v>
      </c>
      <c r="D42" s="6">
        <v>90817</v>
      </c>
      <c r="E42" s="7">
        <v>11922.8</v>
      </c>
      <c r="F42" s="7">
        <v>2752.06</v>
      </c>
      <c r="G42" s="8">
        <v>74.8</v>
      </c>
      <c r="H42" s="19">
        <f t="shared" si="0"/>
        <v>192046.17736200002</v>
      </c>
      <c r="I42" s="11">
        <f t="shared" si="14"/>
        <v>5.415895848821739E-3</v>
      </c>
      <c r="J42" s="11">
        <f t="shared" si="15"/>
        <v>1.7064713445279933E-2</v>
      </c>
      <c r="K42" s="11">
        <f t="shared" si="16"/>
        <v>1.6225228551926429E-2</v>
      </c>
      <c r="L42" s="11">
        <f t="shared" si="17"/>
        <v>1.4866170418321056E-2</v>
      </c>
      <c r="M42" s="11">
        <f t="shared" si="18"/>
        <v>-6.5777726481161536E-2</v>
      </c>
      <c r="N42" s="11">
        <f t="shared" si="19"/>
        <v>-6.0718075948134054E-2</v>
      </c>
      <c r="O42" s="11">
        <f t="shared" si="20"/>
        <v>5.3763440860215006E-3</v>
      </c>
      <c r="P42" s="11">
        <f>IF(D42="","",D42/MAX($D$2:D42)-1)</f>
        <v>-3.1285333333333387E-2</v>
      </c>
      <c r="Q42" s="11">
        <f>IF(E42="","",E42/MAX($E$2:E42)-1)</f>
        <v>0</v>
      </c>
      <c r="R42" s="11">
        <f>IF(H42="","",H42/MAX($H$2:H42)-1)</f>
        <v>-8.8170634594340158E-2</v>
      </c>
      <c r="S42" s="12">
        <f t="shared" si="12"/>
        <v>119729.20951326267</v>
      </c>
      <c r="T42" s="12">
        <f t="shared" si="21"/>
        <v>157634.97299548492</v>
      </c>
      <c r="U42" s="12">
        <f t="shared" si="22"/>
        <v>147001.22659027981</v>
      </c>
      <c r="V42" s="12">
        <f t="shared" si="13"/>
        <v>106443.74909935785</v>
      </c>
      <c r="W42" s="12">
        <f t="shared" si="23"/>
        <v>140143.39176737631</v>
      </c>
      <c r="X42" s="12">
        <f t="shared" si="24"/>
        <v>130689.59315847069</v>
      </c>
    </row>
    <row r="43" spans="1:24" ht="15" x14ac:dyDescent="0.3">
      <c r="A43" s="10">
        <v>43617</v>
      </c>
      <c r="B43" s="5">
        <v>69.388000000000005</v>
      </c>
      <c r="C43" s="6">
        <v>1409.1</v>
      </c>
      <c r="D43" s="6">
        <v>97154</v>
      </c>
      <c r="E43" s="7">
        <v>11788.85</v>
      </c>
      <c r="F43" s="7">
        <v>2941.76</v>
      </c>
      <c r="G43" s="8">
        <v>75.3</v>
      </c>
      <c r="H43" s="19">
        <f t="shared" si="0"/>
        <v>204122.84288000004</v>
      </c>
      <c r="I43" s="11">
        <f t="shared" si="14"/>
        <v>-5.6561296711076237E-3</v>
      </c>
      <c r="J43" s="11">
        <f t="shared" si="15"/>
        <v>7.9563302049415752E-2</v>
      </c>
      <c r="K43" s="11">
        <f t="shared" si="16"/>
        <v>6.9777684794696926E-2</v>
      </c>
      <c r="L43" s="11">
        <f t="shared" si="17"/>
        <v>-1.1234777065789792E-2</v>
      </c>
      <c r="M43" s="11">
        <f t="shared" si="18"/>
        <v>6.8930183208214979E-2</v>
      </c>
      <c r="N43" s="11">
        <f t="shared" si="19"/>
        <v>6.288417548262859E-2</v>
      </c>
      <c r="O43" s="11">
        <f t="shared" si="20"/>
        <v>6.6844919786095414E-3</v>
      </c>
      <c r="P43" s="11">
        <f>IF(D43="","",D43/MAX($D$2:D43)-1)</f>
        <v>0</v>
      </c>
      <c r="Q43" s="11">
        <f>IF(E43="","",E43/MAX($E$2:E43)-1)</f>
        <v>-1.1234777065789792E-2</v>
      </c>
      <c r="R43" s="11">
        <f>IF(H43="","",H43/MAX($H$2:H43)-1)</f>
        <v>-3.083099676995682E-2</v>
      </c>
      <c r="S43" s="12">
        <f t="shared" si="12"/>
        <v>128083.63655539736</v>
      </c>
      <c r="T43" s="12">
        <f t="shared" si="21"/>
        <v>155863.97921610883</v>
      </c>
      <c r="U43" s="12">
        <f t="shared" si="22"/>
        <v>156245.27751934461</v>
      </c>
      <c r="V43" s="12">
        <f t="shared" si="13"/>
        <v>113115.03095529781</v>
      </c>
      <c r="W43" s="12">
        <f t="shared" si="23"/>
        <v>137648.79970612531</v>
      </c>
      <c r="X43" s="12">
        <f t="shared" si="24"/>
        <v>137985.53725147963</v>
      </c>
    </row>
    <row r="44" spans="1:24" ht="15" x14ac:dyDescent="0.3">
      <c r="A44" s="10">
        <v>43647</v>
      </c>
      <c r="B44" s="5">
        <v>68.739099999999993</v>
      </c>
      <c r="C44" s="6">
        <v>1413.55</v>
      </c>
      <c r="D44" s="6">
        <v>97341</v>
      </c>
      <c r="E44" s="7">
        <v>11118</v>
      </c>
      <c r="F44" s="7">
        <v>2980.38</v>
      </c>
      <c r="G44" s="8">
        <v>76</v>
      </c>
      <c r="H44" s="19">
        <f t="shared" si="0"/>
        <v>204868.63885799999</v>
      </c>
      <c r="I44" s="11">
        <f t="shared" si="14"/>
        <v>-9.3517611114315446E-3</v>
      </c>
      <c r="J44" s="11">
        <f t="shared" si="15"/>
        <v>3.1580441416507732E-3</v>
      </c>
      <c r="K44" s="11">
        <f t="shared" si="16"/>
        <v>1.924779216501582E-3</v>
      </c>
      <c r="L44" s="11">
        <f t="shared" si="17"/>
        <v>-5.6905465757898344E-2</v>
      </c>
      <c r="M44" s="11">
        <f t="shared" si="18"/>
        <v>1.3128195366039375E-2</v>
      </c>
      <c r="N44" s="11">
        <f t="shared" si="19"/>
        <v>3.6536625077203677E-3</v>
      </c>
      <c r="O44" s="11">
        <f t="shared" si="20"/>
        <v>9.2961487383798058E-3</v>
      </c>
      <c r="P44" s="11">
        <f>IF(D44="","",D44/MAX($D$2:D44)-1)</f>
        <v>0</v>
      </c>
      <c r="Q44" s="11">
        <f>IF(E44="","",E44/MAX($E$2:E44)-1)</f>
        <v>-6.7500922602073299E-2</v>
      </c>
      <c r="R44" s="11">
        <f>IF(H44="","",H44/MAX($H$2:H44)-1)</f>
        <v>-2.7289980319210483E-2</v>
      </c>
      <c r="S44" s="12">
        <f t="shared" si="12"/>
        <v>128330.16927701313</v>
      </c>
      <c r="T44" s="12">
        <f t="shared" si="21"/>
        <v>146994.46688393678</v>
      </c>
      <c r="U44" s="12">
        <f t="shared" si="22"/>
        <v>156816.14503182541</v>
      </c>
      <c r="V44" s="12">
        <f t="shared" si="13"/>
        <v>112288.89811738649</v>
      </c>
      <c r="W44" s="12">
        <f t="shared" si="23"/>
        <v>128620.15852344467</v>
      </c>
      <c r="X44" s="12">
        <f t="shared" si="24"/>
        <v>137214.12690284723</v>
      </c>
    </row>
    <row r="45" spans="1:24" ht="15" x14ac:dyDescent="0.3">
      <c r="A45" s="10">
        <v>43678</v>
      </c>
      <c r="B45" s="5">
        <v>71.189099999999996</v>
      </c>
      <c r="C45" s="6">
        <v>1519.85</v>
      </c>
      <c r="D45" s="6">
        <v>108617</v>
      </c>
      <c r="E45" s="7">
        <v>11023.25</v>
      </c>
      <c r="F45" s="7">
        <v>2926.46</v>
      </c>
      <c r="G45" s="8">
        <v>76.400000000000006</v>
      </c>
      <c r="H45" s="19">
        <f t="shared" si="0"/>
        <v>208332.05358599999</v>
      </c>
      <c r="I45" s="11">
        <f t="shared" si="14"/>
        <v>3.5642014515756104E-2</v>
      </c>
      <c r="J45" s="11">
        <f t="shared" si="15"/>
        <v>7.5200735736266733E-2</v>
      </c>
      <c r="K45" s="11">
        <f t="shared" si="16"/>
        <v>0.11584019066991291</v>
      </c>
      <c r="L45" s="11">
        <f t="shared" si="17"/>
        <v>-8.5222162259399603E-3</v>
      </c>
      <c r="M45" s="11">
        <f t="shared" si="18"/>
        <v>-1.8091652742267761E-2</v>
      </c>
      <c r="N45" s="11">
        <f t="shared" si="19"/>
        <v>1.6905538823834387E-2</v>
      </c>
      <c r="O45" s="11">
        <f t="shared" si="20"/>
        <v>5.2631578947368585E-3</v>
      </c>
      <c r="P45" s="11">
        <f>IF(D45="","",D45/MAX($D$2:D45)-1)</f>
        <v>0</v>
      </c>
      <c r="Q45" s="11">
        <f>IF(E45="","",E45/MAX($E$2:E45)-1)</f>
        <v>-7.5447881370147907E-2</v>
      </c>
      <c r="R45" s="11">
        <f>IF(H45="","",H45/MAX($H$2:H45)-1)</f>
        <v>-1.0845793317164287E-2</v>
      </c>
      <c r="S45" s="12">
        <f t="shared" si="12"/>
        <v>143195.96055476455</v>
      </c>
      <c r="T45" s="12">
        <f t="shared" si="21"/>
        <v>145741.7482531351</v>
      </c>
      <c r="U45" s="12">
        <f t="shared" si="22"/>
        <v>159467.20645986494</v>
      </c>
      <c r="V45" s="12">
        <f t="shared" si="13"/>
        <v>124640.46304832253</v>
      </c>
      <c r="W45" s="12">
        <f t="shared" si="23"/>
        <v>126856.36464441734</v>
      </c>
      <c r="X45" s="12">
        <f t="shared" si="24"/>
        <v>138803.26216729081</v>
      </c>
    </row>
    <row r="46" spans="1:24" ht="15" x14ac:dyDescent="0.3">
      <c r="A46" s="10">
        <v>43709</v>
      </c>
      <c r="B46" s="5">
        <v>71.311000000000007</v>
      </c>
      <c r="C46" s="6">
        <v>1472</v>
      </c>
      <c r="D46" s="6">
        <v>103993</v>
      </c>
      <c r="E46" s="7">
        <v>11474.45</v>
      </c>
      <c r="F46" s="7">
        <v>2976.74</v>
      </c>
      <c r="G46" s="8">
        <v>76.8</v>
      </c>
      <c r="H46" s="19">
        <f t="shared" si="0"/>
        <v>212274.30614</v>
      </c>
      <c r="I46" s="11">
        <f t="shared" si="14"/>
        <v>1.7123407937451596E-3</v>
      </c>
      <c r="J46" s="11">
        <f t="shared" si="15"/>
        <v>-3.1483370069414707E-2</v>
      </c>
      <c r="K46" s="11">
        <f t="shared" si="16"/>
        <v>-4.2571604813242847E-2</v>
      </c>
      <c r="L46" s="11">
        <f t="shared" si="17"/>
        <v>4.0931667158052409E-2</v>
      </c>
      <c r="M46" s="11">
        <f t="shared" si="18"/>
        <v>1.7181167690656807E-2</v>
      </c>
      <c r="N46" s="11">
        <f t="shared" si="19"/>
        <v>1.8922928498722902E-2</v>
      </c>
      <c r="O46" s="11">
        <f t="shared" si="20"/>
        <v>5.2356020942407877E-3</v>
      </c>
      <c r="P46" s="11">
        <f>IF(D46="","",D46/MAX($D$2:D46)-1)</f>
        <v>-4.2571604813242847E-2</v>
      </c>
      <c r="Q46" s="11">
        <f>IF(E46="","",E46/MAX($E$2:E46)-1)</f>
        <v>-3.7604421780118691E-2</v>
      </c>
      <c r="R46" s="11">
        <f>IF(H46="","",H46/MAX($H$2:H46)-1)</f>
        <v>0</v>
      </c>
      <c r="S46" s="12">
        <f t="shared" si="12"/>
        <v>137099.87871117439</v>
      </c>
      <c r="T46" s="12">
        <f t="shared" si="21"/>
        <v>151707.20098366507</v>
      </c>
      <c r="U46" s="12">
        <f t="shared" si="22"/>
        <v>162484.79300559609</v>
      </c>
      <c r="V46" s="12">
        <f t="shared" si="13"/>
        <v>118712.7856027747</v>
      </c>
      <c r="W46" s="12">
        <f t="shared" si="23"/>
        <v>131361.05293507458</v>
      </c>
      <c r="X46" s="12">
        <f t="shared" si="24"/>
        <v>140693.21269364766</v>
      </c>
    </row>
    <row r="47" spans="1:24" ht="15" x14ac:dyDescent="0.3">
      <c r="A47" s="10">
        <v>43739</v>
      </c>
      <c r="B47" s="5">
        <v>71.008600000000001</v>
      </c>
      <c r="C47" s="6">
        <v>1513.16</v>
      </c>
      <c r="D47" s="6">
        <v>107373</v>
      </c>
      <c r="E47" s="7">
        <v>11877.45</v>
      </c>
      <c r="F47" s="7">
        <v>3037.56</v>
      </c>
      <c r="G47" s="8">
        <v>77.5</v>
      </c>
      <c r="H47" s="19">
        <f t="shared" si="0"/>
        <v>215692.88301600001</v>
      </c>
      <c r="I47" s="11">
        <f t="shared" si="14"/>
        <v>-4.2405799946713119E-3</v>
      </c>
      <c r="J47" s="11">
        <f t="shared" si="15"/>
        <v>2.7961956521739273E-2</v>
      </c>
      <c r="K47" s="11">
        <f t="shared" si="16"/>
        <v>3.2502187647245551E-2</v>
      </c>
      <c r="L47" s="11">
        <f t="shared" si="17"/>
        <v>3.5121509091939007E-2</v>
      </c>
      <c r="M47" s="11">
        <f t="shared" si="18"/>
        <v>2.0431747482144935E-2</v>
      </c>
      <c r="N47" s="11">
        <f t="shared" si="19"/>
        <v>1.6104525027844652E-2</v>
      </c>
      <c r="O47" s="11">
        <f t="shared" si="20"/>
        <v>9.1145833333334814E-3</v>
      </c>
      <c r="P47" s="11">
        <f>IF(D47="","",D47/MAX($D$2:D47)-1)</f>
        <v>-1.1453087454081801E-2</v>
      </c>
      <c r="Q47" s="11">
        <f>IF(E47="","",E47/MAX($E$2:E47)-1)</f>
        <v>-3.8036367296271356E-3</v>
      </c>
      <c r="R47" s="11">
        <f>IF(H47="","",H47/MAX($H$2:H47)-1)</f>
        <v>0</v>
      </c>
      <c r="S47" s="12">
        <f t="shared" si="12"/>
        <v>141555.92469545957</v>
      </c>
      <c r="T47" s="12">
        <f t="shared" si="21"/>
        <v>157035.3868223255</v>
      </c>
      <c r="U47" s="12">
        <f t="shared" si="22"/>
        <v>165101.5334211989</v>
      </c>
      <c r="V47" s="12">
        <f t="shared" si="13"/>
        <v>121464.11602900726</v>
      </c>
      <c r="W47" s="12">
        <f t="shared" si="23"/>
        <v>134746.49320883414</v>
      </c>
      <c r="X47" s="12">
        <f t="shared" si="24"/>
        <v>141667.76738722229</v>
      </c>
    </row>
    <row r="48" spans="1:24" ht="15" x14ac:dyDescent="0.3">
      <c r="A48" s="10">
        <v>43770</v>
      </c>
      <c r="B48" s="5">
        <v>71.494200000000006</v>
      </c>
      <c r="C48" s="6">
        <v>1463.9</v>
      </c>
      <c r="D48" s="6">
        <v>105193</v>
      </c>
      <c r="E48" s="7">
        <v>12056.05</v>
      </c>
      <c r="F48" s="7">
        <v>3140.98</v>
      </c>
      <c r="G48" s="8">
        <v>78.3</v>
      </c>
      <c r="H48" s="19">
        <f t="shared" si="0"/>
        <v>224561.85231600003</v>
      </c>
      <c r="I48" s="11">
        <f t="shared" si="14"/>
        <v>6.8386082812506022E-3</v>
      </c>
      <c r="J48" s="11">
        <f t="shared" si="15"/>
        <v>-3.2554389489545033E-2</v>
      </c>
      <c r="K48" s="11">
        <f t="shared" si="16"/>
        <v>-2.0303055703016604E-2</v>
      </c>
      <c r="L48" s="11">
        <f t="shared" si="17"/>
        <v>1.5036897650589909E-2</v>
      </c>
      <c r="M48" s="11">
        <f t="shared" si="18"/>
        <v>3.404706409091518E-2</v>
      </c>
      <c r="N48" s="11">
        <f t="shared" si="19"/>
        <v>4.1118506906610008E-2</v>
      </c>
      <c r="O48" s="11">
        <f t="shared" si="20"/>
        <v>1.0322580645161228E-2</v>
      </c>
      <c r="P48" s="11">
        <f>IF(D48="","",D48/MAX($D$2:D48)-1)</f>
        <v>-3.152361048454666E-2</v>
      </c>
      <c r="Q48" s="11">
        <f>IF(E48="","",E48/MAX($E$2:E48)-1)</f>
        <v>0</v>
      </c>
      <c r="R48" s="11">
        <f>IF(H48="","",H48/MAX($H$2:H48)-1)</f>
        <v>0</v>
      </c>
      <c r="S48" s="12">
        <f t="shared" si="12"/>
        <v>138681.90687127566</v>
      </c>
      <c r="T48" s="12">
        <f t="shared" si="21"/>
        <v>159396.71186149362</v>
      </c>
      <c r="U48" s="12">
        <f t="shared" si="22"/>
        <v>171890.26196347034</v>
      </c>
      <c r="V48" s="12">
        <f t="shared" si="13"/>
        <v>117782.20698518303</v>
      </c>
      <c r="W48" s="12">
        <f t="shared" si="23"/>
        <v>135375.24059756481</v>
      </c>
      <c r="X48" s="12">
        <f t="shared" si="24"/>
        <v>145985.98238276856</v>
      </c>
    </row>
    <row r="49" spans="1:24" ht="15" x14ac:dyDescent="0.3">
      <c r="A49" s="10">
        <v>43800</v>
      </c>
      <c r="B49" s="5">
        <v>71.156700000000001</v>
      </c>
      <c r="C49" s="6">
        <v>1517.01</v>
      </c>
      <c r="D49" s="6">
        <v>108239</v>
      </c>
      <c r="E49" s="7">
        <v>12168.45</v>
      </c>
      <c r="F49" s="7">
        <v>3230.78</v>
      </c>
      <c r="G49" s="8">
        <v>79.2</v>
      </c>
      <c r="H49" s="19">
        <f t="shared" si="0"/>
        <v>229891.64322600001</v>
      </c>
      <c r="I49" s="11">
        <f t="shared" si="14"/>
        <v>-4.7206626551524744E-3</v>
      </c>
      <c r="J49" s="11">
        <f t="shared" si="15"/>
        <v>3.6279800532823314E-2</v>
      </c>
      <c r="K49" s="11">
        <f t="shared" si="16"/>
        <v>2.895629937353239E-2</v>
      </c>
      <c r="L49" s="11">
        <f t="shared" si="17"/>
        <v>9.3231199273395848E-3</v>
      </c>
      <c r="M49" s="11">
        <f t="shared" si="18"/>
        <v>2.8589803182446305E-2</v>
      </c>
      <c r="N49" s="11">
        <f t="shared" si="19"/>
        <v>2.3734177711092208E-2</v>
      </c>
      <c r="O49" s="11">
        <f t="shared" si="20"/>
        <v>1.1494252873563315E-2</v>
      </c>
      <c r="P49" s="11">
        <f>IF(D49="","",D49/MAX($D$2:D49)-1)</f>
        <v>-3.4801182135393294E-3</v>
      </c>
      <c r="Q49" s="11">
        <f>IF(E49="","",E49/MAX($E$2:E49)-1)</f>
        <v>0</v>
      </c>
      <c r="R49" s="11">
        <f>IF(H49="","",H49/MAX($H$2:H49)-1)</f>
        <v>0</v>
      </c>
      <c r="S49" s="12">
        <f t="shared" si="12"/>
        <v>142697.62168433264</v>
      </c>
      <c r="T49" s="12">
        <f t="shared" si="21"/>
        <v>160882.78652220187</v>
      </c>
      <c r="U49" s="12">
        <f t="shared" si="22"/>
        <v>175969.93598771756</v>
      </c>
      <c r="V49" s="12">
        <f t="shared" si="13"/>
        <v>119815.55356070859</v>
      </c>
      <c r="W49" s="12">
        <f t="shared" si="23"/>
        <v>135084.6629258387</v>
      </c>
      <c r="X49" s="12">
        <f t="shared" si="24"/>
        <v>147752.53463615174</v>
      </c>
    </row>
    <row r="50" spans="1:24" ht="15" x14ac:dyDescent="0.3">
      <c r="A50" s="10">
        <v>43831</v>
      </c>
      <c r="B50" s="5">
        <v>71.278999999999996</v>
      </c>
      <c r="C50" s="6">
        <v>1589.81</v>
      </c>
      <c r="D50" s="6">
        <v>113735</v>
      </c>
      <c r="E50" s="7">
        <v>11962.1</v>
      </c>
      <c r="F50" s="7">
        <v>3225.52</v>
      </c>
      <c r="G50" s="8">
        <v>79.099999999999994</v>
      </c>
      <c r="H50" s="19">
        <f t="shared" si="0"/>
        <v>229911.84007999999</v>
      </c>
      <c r="I50" s="11">
        <f t="shared" si="14"/>
        <v>1.7187418753257244E-3</v>
      </c>
      <c r="J50" s="11">
        <f t="shared" si="15"/>
        <v>4.7989136525138143E-2</v>
      </c>
      <c r="K50" s="11">
        <f t="shared" si="16"/>
        <v>5.0776522325594264E-2</v>
      </c>
      <c r="L50" s="11">
        <f t="shared" si="17"/>
        <v>-1.6957788378963667E-2</v>
      </c>
      <c r="M50" s="11">
        <f t="shared" si="18"/>
        <v>-1.6280898111292741E-3</v>
      </c>
      <c r="N50" s="11">
        <f t="shared" si="19"/>
        <v>8.7853798061310329E-5</v>
      </c>
      <c r="O50" s="11">
        <f t="shared" si="20"/>
        <v>-1.2626262626264095E-3</v>
      </c>
      <c r="P50" s="11">
        <f>IF(D50="","",D50/MAX($D$2:D50)-1)</f>
        <v>0</v>
      </c>
      <c r="Q50" s="11">
        <f>IF(E50="","",E50/MAX($E$2:E50)-1)</f>
        <v>-1.6957788378963667E-2</v>
      </c>
      <c r="R50" s="11">
        <f>IF(H50="","",H50/MAX($H$2:H50)-1)</f>
        <v>0</v>
      </c>
      <c r="S50" s="12">
        <f t="shared" si="12"/>
        <v>149943.31065759636</v>
      </c>
      <c r="T50" s="12">
        <f t="shared" si="21"/>
        <v>158154.5702745404</v>
      </c>
      <c r="U50" s="12">
        <f t="shared" si="22"/>
        <v>175985.39561493869</v>
      </c>
      <c r="V50" s="12">
        <f t="shared" si="13"/>
        <v>126058.53550859872</v>
      </c>
      <c r="W50" s="12">
        <f t="shared" si="23"/>
        <v>132961.80686797644</v>
      </c>
      <c r="X50" s="12">
        <f t="shared" si="24"/>
        <v>147952.32374707237</v>
      </c>
    </row>
    <row r="51" spans="1:24" ht="15" x14ac:dyDescent="0.3">
      <c r="A51" s="10">
        <v>43862</v>
      </c>
      <c r="B51" s="5">
        <v>71.529499999999999</v>
      </c>
      <c r="C51" s="6">
        <v>1584.74</v>
      </c>
      <c r="D51" s="6">
        <v>114948</v>
      </c>
      <c r="E51" s="7">
        <v>11201.75</v>
      </c>
      <c r="F51" s="7">
        <v>2954.22</v>
      </c>
      <c r="G51" s="8">
        <v>78.5</v>
      </c>
      <c r="H51" s="19">
        <f t="shared" si="0"/>
        <v>211313.87948999999</v>
      </c>
      <c r="I51" s="11">
        <f t="shared" si="14"/>
        <v>3.5143590678881065E-3</v>
      </c>
      <c r="J51" s="11">
        <f t="shared" si="15"/>
        <v>-3.1890603279637331E-3</v>
      </c>
      <c r="K51" s="11">
        <f t="shared" si="16"/>
        <v>1.0665142656174353E-2</v>
      </c>
      <c r="L51" s="11">
        <f t="shared" si="17"/>
        <v>-6.3563253943705544E-2</v>
      </c>
      <c r="M51" s="11">
        <f t="shared" si="18"/>
        <v>-8.4110469009648137E-2</v>
      </c>
      <c r="N51" s="11">
        <f t="shared" si="19"/>
        <v>-8.0891704331228276E-2</v>
      </c>
      <c r="O51" s="11">
        <f t="shared" si="20"/>
        <v>-7.5853350189633018E-3</v>
      </c>
      <c r="P51" s="11">
        <f>IF(D51="","",D51/MAX($D$2:D51)-1)</f>
        <v>0</v>
      </c>
      <c r="Q51" s="11">
        <f>IF(E51="","",E51/MAX($E$2:E51)-1)</f>
        <v>-7.9443150113613581E-2</v>
      </c>
      <c r="R51" s="11">
        <f>IF(H51="","",H51/MAX($H$2:H51)-1)</f>
        <v>-8.0891704331228276E-2</v>
      </c>
      <c r="S51" s="12">
        <f t="shared" si="12"/>
        <v>151542.47745609871</v>
      </c>
      <c r="T51" s="12">
        <f t="shared" si="21"/>
        <v>148101.75116182215</v>
      </c>
      <c r="U51" s="12">
        <f t="shared" si="22"/>
        <v>161749.63702624085</v>
      </c>
      <c r="V51" s="12">
        <f t="shared" si="13"/>
        <v>128376.74841822375</v>
      </c>
      <c r="W51" s="12">
        <f t="shared" si="23"/>
        <v>125461.99302243532</v>
      </c>
      <c r="X51" s="12">
        <f t="shared" si="24"/>
        <v>137023.57786299384</v>
      </c>
    </row>
    <row r="52" spans="1:24" ht="15" x14ac:dyDescent="0.3">
      <c r="A52" s="10">
        <v>43891</v>
      </c>
      <c r="B52" s="5">
        <v>74.548199999999994</v>
      </c>
      <c r="C52" s="6">
        <v>1571.05</v>
      </c>
      <c r="D52" s="6">
        <v>118375</v>
      </c>
      <c r="E52" s="7">
        <v>8597.75</v>
      </c>
      <c r="F52" s="7">
        <v>2584.59</v>
      </c>
      <c r="G52" s="8">
        <v>78.3</v>
      </c>
      <c r="H52" s="19">
        <f t="shared" si="0"/>
        <v>192676.53223799999</v>
      </c>
      <c r="I52" s="11">
        <f t="shared" si="14"/>
        <v>4.2202168336140877E-2</v>
      </c>
      <c r="J52" s="11">
        <f t="shared" si="15"/>
        <v>-8.6386410389086565E-3</v>
      </c>
      <c r="K52" s="11">
        <f t="shared" si="16"/>
        <v>2.981348087831015E-2</v>
      </c>
      <c r="L52" s="11">
        <f t="shared" si="17"/>
        <v>-0.23246367755038277</v>
      </c>
      <c r="M52" s="11">
        <f t="shared" si="18"/>
        <v>-0.12511932083595656</v>
      </c>
      <c r="N52" s="11">
        <f t="shared" si="19"/>
        <v>-8.8197459139838341E-2</v>
      </c>
      <c r="O52" s="11">
        <f t="shared" si="20"/>
        <v>-2.5477707006369421E-3</v>
      </c>
      <c r="P52" s="11">
        <f>IF(D52="","",D52/MAX($D$2:D52)-1)</f>
        <v>0</v>
      </c>
      <c r="Q52" s="11">
        <f>IF(E52="","",E52/MAX($E$2:E52)-1)</f>
        <v>-0.29343918083239862</v>
      </c>
      <c r="R52" s="11">
        <f>IF(H52="","",H52/MAX($H$2:H52)-1)</f>
        <v>-0.16195472068356132</v>
      </c>
      <c r="S52" s="12">
        <f t="shared" si="12"/>
        <v>156060.48620998787</v>
      </c>
      <c r="T52" s="12">
        <f t="shared" si="21"/>
        <v>113673.4734350933</v>
      </c>
      <c r="U52" s="12">
        <f t="shared" si="22"/>
        <v>147483.73002373526</v>
      </c>
      <c r="V52" s="12">
        <f t="shared" si="13"/>
        <v>132541.79224730772</v>
      </c>
      <c r="W52" s="12">
        <f t="shared" si="23"/>
        <v>96542.605152410033</v>
      </c>
      <c r="X52" s="12">
        <f t="shared" si="24"/>
        <v>125257.57403037541</v>
      </c>
    </row>
    <row r="53" spans="1:24" ht="15" x14ac:dyDescent="0.3">
      <c r="A53" s="10">
        <v>43922</v>
      </c>
      <c r="B53" s="5">
        <v>76.168199999999999</v>
      </c>
      <c r="C53" s="6">
        <v>1680.09</v>
      </c>
      <c r="D53" s="6">
        <v>126568</v>
      </c>
      <c r="E53" s="7">
        <v>9859.9</v>
      </c>
      <c r="F53" s="7">
        <v>2912.43</v>
      </c>
      <c r="G53" s="8">
        <v>79.7</v>
      </c>
      <c r="H53" s="19">
        <f t="shared" si="0"/>
        <v>221834.55072599999</v>
      </c>
      <c r="I53" s="11">
        <f t="shared" si="14"/>
        <v>2.1730906983669751E-2</v>
      </c>
      <c r="J53" s="11">
        <f t="shared" si="15"/>
        <v>6.9405811400019113E-2</v>
      </c>
      <c r="K53" s="11">
        <f t="shared" si="16"/>
        <v>6.9212249208025378E-2</v>
      </c>
      <c r="L53" s="11">
        <f t="shared" si="17"/>
        <v>0.14680003489284976</v>
      </c>
      <c r="M53" s="11">
        <f t="shared" si="18"/>
        <v>0.12684410293315374</v>
      </c>
      <c r="N53" s="11">
        <f t="shared" si="19"/>
        <v>0.15133144731909076</v>
      </c>
      <c r="O53" s="11">
        <f t="shared" si="20"/>
        <v>1.7879948914431676E-2</v>
      </c>
      <c r="P53" s="11">
        <f>IF(D53="","",D53/MAX($D$2:D53)-1)</f>
        <v>0</v>
      </c>
      <c r="Q53" s="11">
        <f>IF(E53="","",E53/MAX($E$2:E53)-1)</f>
        <v>-0.18971602792467412</v>
      </c>
      <c r="R53" s="11">
        <f>IF(H53="","",H53/MAX($H$2:H53)-1)</f>
        <v>-3.5132115645672868E-2</v>
      </c>
      <c r="S53" s="12">
        <f t="shared" si="12"/>
        <v>166861.78347307915</v>
      </c>
      <c r="T53" s="12">
        <f t="shared" si="21"/>
        <v>130360.74330175645</v>
      </c>
      <c r="U53" s="12">
        <f t="shared" si="22"/>
        <v>169802.65634424516</v>
      </c>
      <c r="V53" s="12">
        <f t="shared" si="13"/>
        <v>139225.954842657</v>
      </c>
      <c r="W53" s="12">
        <f t="shared" si="23"/>
        <v>108770.25633082565</v>
      </c>
      <c r="X53" s="12">
        <f t="shared" si="24"/>
        <v>141679.75717556215</v>
      </c>
    </row>
    <row r="54" spans="1:24" ht="15" x14ac:dyDescent="0.3">
      <c r="A54" s="10">
        <v>43952</v>
      </c>
      <c r="B54" s="5">
        <v>75.657499999999999</v>
      </c>
      <c r="C54" s="6">
        <v>1726.3</v>
      </c>
      <c r="D54" s="6">
        <v>130734</v>
      </c>
      <c r="E54" s="7">
        <v>9580.2999999999993</v>
      </c>
      <c r="F54" s="7">
        <v>3044.31</v>
      </c>
      <c r="G54" s="8">
        <v>79.5</v>
      </c>
      <c r="H54" s="19">
        <f t="shared" si="0"/>
        <v>230324.883825</v>
      </c>
      <c r="I54" s="11">
        <f t="shared" si="14"/>
        <v>-6.7048978445073404E-3</v>
      </c>
      <c r="J54" s="11">
        <f t="shared" si="15"/>
        <v>2.7504478926724252E-2</v>
      </c>
      <c r="K54" s="11">
        <f t="shared" si="16"/>
        <v>3.29151128247267E-2</v>
      </c>
      <c r="L54" s="11">
        <f t="shared" si="17"/>
        <v>-2.8357285570847601E-2</v>
      </c>
      <c r="M54" s="11">
        <f t="shared" si="18"/>
        <v>4.528177501261843E-2</v>
      </c>
      <c r="N54" s="11">
        <f t="shared" si="19"/>
        <v>3.8273267492433538E-2</v>
      </c>
      <c r="O54" s="11">
        <f t="shared" si="20"/>
        <v>-2.5094102885822034E-3</v>
      </c>
      <c r="P54" s="11">
        <f>IF(D54="","",D54/MAX($D$2:D54)-1)</f>
        <v>0</v>
      </c>
      <c r="Q54" s="11">
        <f>IF(E54="","",E54/MAX($E$2:E54)-1)</f>
        <v>-0.21269348191429482</v>
      </c>
      <c r="R54" s="11">
        <f>IF(H54="","",H54/MAX($H$2:H54)-1)</f>
        <v>0</v>
      </c>
      <c r="S54" s="12">
        <f t="shared" si="12"/>
        <v>172354.05790223065</v>
      </c>
      <c r="T54" s="12">
        <f t="shared" si="21"/>
        <v>126664.06647672057</v>
      </c>
      <c r="U54" s="12">
        <f t="shared" si="22"/>
        <v>176301.55883143423</v>
      </c>
      <c r="V54" s="12">
        <f t="shared" si="13"/>
        <v>144170.3754779665</v>
      </c>
      <c r="W54" s="12">
        <f t="shared" si="23"/>
        <v>105951.70340505558</v>
      </c>
      <c r="X54" s="12">
        <f t="shared" si="24"/>
        <v>147472.37311057077</v>
      </c>
    </row>
    <row r="55" spans="1:24" ht="15" x14ac:dyDescent="0.3">
      <c r="A55" s="10">
        <v>43983</v>
      </c>
      <c r="B55" s="5">
        <v>75.707700000000003</v>
      </c>
      <c r="C55" s="6">
        <v>1780.67</v>
      </c>
      <c r="D55" s="6">
        <v>134468</v>
      </c>
      <c r="E55" s="7">
        <v>10302.1</v>
      </c>
      <c r="F55" s="7">
        <v>3100.29</v>
      </c>
      <c r="G55" s="8">
        <v>80</v>
      </c>
      <c r="H55" s="19">
        <f t="shared" si="0"/>
        <v>234715.82523300001</v>
      </c>
      <c r="I55" s="11">
        <f t="shared" si="14"/>
        <v>6.6351650530349637E-4</v>
      </c>
      <c r="J55" s="11">
        <f t="shared" si="15"/>
        <v>3.1495105138156898E-2</v>
      </c>
      <c r="K55" s="11">
        <f t="shared" si="16"/>
        <v>2.8561812535377262E-2</v>
      </c>
      <c r="L55" s="11">
        <f t="shared" si="17"/>
        <v>7.5342108284709441E-2</v>
      </c>
      <c r="M55" s="11">
        <f t="shared" si="18"/>
        <v>1.8388403283502663E-2</v>
      </c>
      <c r="N55" s="11">
        <f t="shared" si="19"/>
        <v>1.9064120797890993E-2</v>
      </c>
      <c r="O55" s="11">
        <f t="shared" si="20"/>
        <v>6.2893081761006275E-3</v>
      </c>
      <c r="P55" s="11">
        <f>IF(D55="","",D55/MAX($D$2:D55)-1)</f>
        <v>0</v>
      </c>
      <c r="Q55" s="11">
        <f>IF(E55="","",E55/MAX($E$2:E55)-1)</f>
        <v>-0.15337614897542418</v>
      </c>
      <c r="R55" s="11">
        <f>IF(H55="","",H55/MAX($H$2:H55)-1)</f>
        <v>0</v>
      </c>
      <c r="S55" s="12">
        <f t="shared" si="12"/>
        <v>177276.80219374571</v>
      </c>
      <c r="T55" s="12">
        <f t="shared" si="21"/>
        <v>136207.20428899128</v>
      </c>
      <c r="U55" s="12">
        <f t="shared" si="22"/>
        <v>179662.59304585317</v>
      </c>
      <c r="V55" s="12">
        <f t="shared" si="13"/>
        <v>147361.34182355113</v>
      </c>
      <c r="W55" s="12">
        <f t="shared" si="23"/>
        <v>113222.23856522402</v>
      </c>
      <c r="X55" s="12">
        <f t="shared" si="24"/>
        <v>149344.53046936545</v>
      </c>
    </row>
    <row r="56" spans="1:24" ht="15" x14ac:dyDescent="0.3">
      <c r="A56" s="10">
        <v>44013</v>
      </c>
      <c r="B56" s="5">
        <v>74.928600000000003</v>
      </c>
      <c r="C56" s="6">
        <v>1974.69</v>
      </c>
      <c r="D56" s="6">
        <v>147959</v>
      </c>
      <c r="E56" s="7">
        <v>11073.45</v>
      </c>
      <c r="F56" s="7">
        <v>3271.12</v>
      </c>
      <c r="G56" s="8">
        <v>81.099999999999994</v>
      </c>
      <c r="H56" s="19">
        <f t="shared" si="0"/>
        <v>245100.44203199999</v>
      </c>
      <c r="I56" s="11">
        <f t="shared" si="14"/>
        <v>-1.0290895113707066E-2</v>
      </c>
      <c r="J56" s="11">
        <f t="shared" si="15"/>
        <v>0.10895898734745901</v>
      </c>
      <c r="K56" s="11">
        <f t="shared" si="16"/>
        <v>0.1003287027396853</v>
      </c>
      <c r="L56" s="11">
        <f t="shared" si="17"/>
        <v>7.4873084128478595E-2</v>
      </c>
      <c r="M56" s="11">
        <f t="shared" si="18"/>
        <v>5.5101296975444303E-2</v>
      </c>
      <c r="N56" s="11">
        <f t="shared" si="19"/>
        <v>4.4243360193933601E-2</v>
      </c>
      <c r="O56" s="11">
        <f t="shared" si="20"/>
        <v>1.3749999999999929E-2</v>
      </c>
      <c r="P56" s="11">
        <f>IF(D56="","",D56/MAX($D$2:D56)-1)</f>
        <v>0</v>
      </c>
      <c r="Q56" s="11">
        <f>IF(E56="","",E56/MAX($E$2:E56)-1)</f>
        <v>-8.9986810152484442E-2</v>
      </c>
      <c r="R56" s="11">
        <f>IF(H56="","",H56/MAX($H$2:H56)-1)</f>
        <v>0</v>
      </c>
      <c r="S56" s="12">
        <f t="shared" si="12"/>
        <v>195062.75378368402</v>
      </c>
      <c r="T56" s="12">
        <f t="shared" si="21"/>
        <v>146405.45775462579</v>
      </c>
      <c r="U56" s="12">
        <f t="shared" si="22"/>
        <v>187611.46986335696</v>
      </c>
      <c r="V56" s="12">
        <f t="shared" si="13"/>
        <v>159946.64767712686</v>
      </c>
      <c r="W56" s="12">
        <f t="shared" si="23"/>
        <v>120048.86486661673</v>
      </c>
      <c r="X56" s="12">
        <f t="shared" si="24"/>
        <v>153836.7786179191</v>
      </c>
    </row>
    <row r="57" spans="1:24" ht="15" x14ac:dyDescent="0.3">
      <c r="A57" s="10">
        <v>44044</v>
      </c>
      <c r="B57" s="5">
        <v>74.565700000000007</v>
      </c>
      <c r="C57" s="6">
        <v>1969.75</v>
      </c>
      <c r="D57" s="6">
        <v>144118</v>
      </c>
      <c r="E57" s="7">
        <v>11387.5</v>
      </c>
      <c r="F57" s="7">
        <v>3500.31</v>
      </c>
      <c r="G57" s="8">
        <v>81.5</v>
      </c>
      <c r="H57" s="19">
        <f t="shared" si="0"/>
        <v>261003.06536700003</v>
      </c>
      <c r="I57" s="11">
        <f t="shared" si="14"/>
        <v>-4.8432774668150103E-3</v>
      </c>
      <c r="J57" s="11">
        <f t="shared" si="15"/>
        <v>-2.5016584881677462E-3</v>
      </c>
      <c r="K57" s="11">
        <f t="shared" si="16"/>
        <v>-2.5959894295041197E-2</v>
      </c>
      <c r="L57" s="11">
        <f t="shared" si="17"/>
        <v>2.8360628349791472E-2</v>
      </c>
      <c r="M57" s="11">
        <f t="shared" si="18"/>
        <v>7.0064687324219221E-2</v>
      </c>
      <c r="N57" s="11">
        <f t="shared" si="19"/>
        <v>6.4882067136067478E-2</v>
      </c>
      <c r="O57" s="11">
        <f t="shared" si="20"/>
        <v>4.9321824907522238E-3</v>
      </c>
      <c r="P57" s="11">
        <f>IF(D57="","",D57/MAX($D$2:D57)-1)</f>
        <v>-2.5959894295041197E-2</v>
      </c>
      <c r="Q57" s="11">
        <f>IF(E57="","",E57/MAX($E$2:E57)-1)</f>
        <v>-6.4178264281810837E-2</v>
      </c>
      <c r="R57" s="11">
        <f>IF(H57="","",H57/MAX($H$2:H57)-1)</f>
        <v>0</v>
      </c>
      <c r="S57" s="12">
        <f t="shared" si="12"/>
        <v>189998.94531455994</v>
      </c>
      <c r="T57" s="12">
        <f t="shared" si="21"/>
        <v>150557.60853038586</v>
      </c>
      <c r="U57" s="12">
        <f t="shared" si="22"/>
        <v>199784.08984652761</v>
      </c>
      <c r="V57" s="12">
        <f t="shared" si="13"/>
        <v>155029.81427507038</v>
      </c>
      <c r="W57" s="12">
        <f t="shared" si="23"/>
        <v>122847.61923031484</v>
      </c>
      <c r="X57" s="12">
        <f t="shared" si="24"/>
        <v>163014.01196066363</v>
      </c>
    </row>
    <row r="58" spans="1:24" ht="15" x14ac:dyDescent="0.3">
      <c r="A58" s="10">
        <v>44075</v>
      </c>
      <c r="B58" s="5">
        <v>73.523300000000006</v>
      </c>
      <c r="C58" s="6">
        <v>1885.44</v>
      </c>
      <c r="D58" s="6">
        <v>138702</v>
      </c>
      <c r="E58" s="7">
        <v>11247.55</v>
      </c>
      <c r="F58" s="7">
        <v>3363</v>
      </c>
      <c r="G58" s="8">
        <v>82.4</v>
      </c>
      <c r="H58" s="19">
        <f t="shared" si="0"/>
        <v>247258.85790000003</v>
      </c>
      <c r="I58" s="11">
        <f t="shared" si="14"/>
        <v>-1.3979617974484215E-2</v>
      </c>
      <c r="J58" s="11">
        <f t="shared" si="15"/>
        <v>-4.2802386089605293E-2</v>
      </c>
      <c r="K58" s="11">
        <f t="shared" si="16"/>
        <v>-3.7580316129838032E-2</v>
      </c>
      <c r="L58" s="11">
        <f t="shared" si="17"/>
        <v>-1.2289791437980258E-2</v>
      </c>
      <c r="M58" s="11">
        <f t="shared" si="18"/>
        <v>-3.9227954095494399E-2</v>
      </c>
      <c r="N58" s="11">
        <f t="shared" si="19"/>
        <v>-5.2659180257803029E-2</v>
      </c>
      <c r="O58" s="11">
        <f t="shared" si="20"/>
        <v>1.1042944785276232E-2</v>
      </c>
      <c r="P58" s="11">
        <f>IF(D58="","",D58/MAX($D$2:D58)-1)</f>
        <v>-6.2564629390574389E-2</v>
      </c>
      <c r="Q58" s="11">
        <f>IF(E58="","",E58/MAX($E$2:E58)-1)</f>
        <v>-7.5679318236916093E-2</v>
      </c>
      <c r="R58" s="11">
        <f>IF(H58="","",H58/MAX($H$2:H58)-1)</f>
        <v>-5.2659180257803029E-2</v>
      </c>
      <c r="S58" s="12">
        <f t="shared" si="12"/>
        <v>182858.72488530295</v>
      </c>
      <c r="T58" s="12">
        <f t="shared" si="21"/>
        <v>148707.28692214633</v>
      </c>
      <c r="U58" s="12">
        <f t="shared" si="22"/>
        <v>189263.6234466582</v>
      </c>
      <c r="V58" s="12">
        <f t="shared" si="13"/>
        <v>147574.09229214376</v>
      </c>
      <c r="W58" s="12">
        <f t="shared" si="23"/>
        <v>120012.55558644091</v>
      </c>
      <c r="X58" s="12">
        <f t="shared" si="24"/>
        <v>152743.09416508215</v>
      </c>
    </row>
    <row r="59" spans="1:24" ht="15" x14ac:dyDescent="0.3">
      <c r="A59" s="10">
        <v>44105</v>
      </c>
      <c r="B59" s="5">
        <v>73.564800000000005</v>
      </c>
      <c r="C59" s="6">
        <v>1877.95</v>
      </c>
      <c r="D59" s="6">
        <v>140049</v>
      </c>
      <c r="E59" s="7">
        <v>11642.4</v>
      </c>
      <c r="F59" s="7">
        <v>3269.96</v>
      </c>
      <c r="G59" s="8">
        <v>83.4</v>
      </c>
      <c r="H59" s="19">
        <f t="shared" si="0"/>
        <v>240553.95340800003</v>
      </c>
      <c r="I59" s="11">
        <f t="shared" si="14"/>
        <v>5.6444691682777659E-4</v>
      </c>
      <c r="J59" s="11">
        <f t="shared" si="15"/>
        <v>-3.972547522063774E-3</v>
      </c>
      <c r="K59" s="11">
        <f t="shared" si="16"/>
        <v>9.7114677510057312E-3</v>
      </c>
      <c r="L59" s="11">
        <f t="shared" si="17"/>
        <v>3.5105422958777721E-2</v>
      </c>
      <c r="M59" s="11">
        <f t="shared" si="18"/>
        <v>-2.7665774606006499E-2</v>
      </c>
      <c r="N59" s="11">
        <f t="shared" si="19"/>
        <v>-2.7116943550356876E-2</v>
      </c>
      <c r="O59" s="11">
        <f t="shared" si="20"/>
        <v>1.2135922330097193E-2</v>
      </c>
      <c r="P59" s="11">
        <f>IF(D59="","",D59/MAX($D$2:D59)-1)</f>
        <v>-5.3460756020248801E-2</v>
      </c>
      <c r="Q59" s="11">
        <f>IF(E59="","",E59/MAX($E$2:E59)-1)</f>
        <v>-4.3230649754077199E-2</v>
      </c>
      <c r="R59" s="11">
        <f>IF(H59="","",H59/MAX($H$2:H59)-1)</f>
        <v>-7.8348167789700995E-2</v>
      </c>
      <c r="S59" s="12">
        <f t="shared" si="12"/>
        <v>184634.55149501661</v>
      </c>
      <c r="T59" s="12">
        <f t="shared" si="21"/>
        <v>153927.7191266006</v>
      </c>
      <c r="U59" s="12">
        <f t="shared" si="22"/>
        <v>184131.37245351917</v>
      </c>
      <c r="V59" s="12">
        <f t="shared" si="13"/>
        <v>147220.59561653002</v>
      </c>
      <c r="W59" s="12">
        <f t="shared" si="23"/>
        <v>122736.13095826066</v>
      </c>
      <c r="X59" s="12">
        <f t="shared" si="24"/>
        <v>146819.37971413697</v>
      </c>
    </row>
    <row r="60" spans="1:24" ht="15" x14ac:dyDescent="0.3">
      <c r="A60" s="10">
        <v>44136</v>
      </c>
      <c r="B60" s="5">
        <v>74.231099999999998</v>
      </c>
      <c r="C60" s="6">
        <v>1777.02</v>
      </c>
      <c r="D60" s="6">
        <v>131450</v>
      </c>
      <c r="E60" s="7">
        <v>12968.95</v>
      </c>
      <c r="F60" s="7">
        <v>3621.63</v>
      </c>
      <c r="G60" s="8">
        <v>83.7</v>
      </c>
      <c r="H60" s="19">
        <f t="shared" si="0"/>
        <v>268837.57869300002</v>
      </c>
      <c r="I60" s="11">
        <f t="shared" si="14"/>
        <v>9.0573208926008064E-3</v>
      </c>
      <c r="J60" s="11">
        <f t="shared" si="15"/>
        <v>-5.3744774887510394E-2</v>
      </c>
      <c r="K60" s="11">
        <f t="shared" si="16"/>
        <v>-6.1399938592921033E-2</v>
      </c>
      <c r="L60" s="11">
        <f t="shared" si="17"/>
        <v>0.11394128358414091</v>
      </c>
      <c r="M60" s="11">
        <f t="shared" si="18"/>
        <v>0.10754565805086314</v>
      </c>
      <c r="N60" s="11">
        <f t="shared" si="19"/>
        <v>0.11757705447903644</v>
      </c>
      <c r="O60" s="11">
        <f t="shared" si="20"/>
        <v>3.597122302158251E-3</v>
      </c>
      <c r="P60" s="11">
        <f>IF(D60="","",D60/MAX($D$2:D60)-1)</f>
        <v>-0.11157820747639546</v>
      </c>
      <c r="Q60" s="11">
        <f>IF(E60="","",E60/MAX($E$2:E60)-1)</f>
        <v>0</v>
      </c>
      <c r="R60" s="11">
        <f>IF(H60="","",H60/MAX($H$2:H60)-1)</f>
        <v>0</v>
      </c>
      <c r="S60" s="12">
        <f t="shared" si="12"/>
        <v>173298.00137109109</v>
      </c>
      <c r="T60" s="12">
        <f t="shared" si="21"/>
        <v>171466.44102306457</v>
      </c>
      <c r="U60" s="12">
        <f t="shared" si="22"/>
        <v>205780.99686378633</v>
      </c>
      <c r="V60" s="12">
        <f t="shared" si="13"/>
        <v>137685.98675242002</v>
      </c>
      <c r="W60" s="12">
        <f t="shared" si="23"/>
        <v>136230.80439705847</v>
      </c>
      <c r="X60" s="12">
        <f t="shared" si="24"/>
        <v>163493.86250229139</v>
      </c>
    </row>
    <row r="61" spans="1:24" ht="15" x14ac:dyDescent="0.3">
      <c r="A61" s="10">
        <v>44166</v>
      </c>
      <c r="B61" s="5">
        <v>73.619500000000002</v>
      </c>
      <c r="C61" s="6">
        <v>1896.49</v>
      </c>
      <c r="D61" s="6">
        <v>138629</v>
      </c>
      <c r="E61" s="7">
        <v>13981.75</v>
      </c>
      <c r="F61" s="7">
        <v>3756.07</v>
      </c>
      <c r="G61" s="8">
        <v>82.8</v>
      </c>
      <c r="H61" s="19">
        <f t="shared" si="0"/>
        <v>276519.99536500004</v>
      </c>
      <c r="I61" s="11">
        <f t="shared" si="14"/>
        <v>-8.2391342712151427E-3</v>
      </c>
      <c r="J61" s="11">
        <f t="shared" si="15"/>
        <v>6.7230532014271205E-2</v>
      </c>
      <c r="K61" s="11">
        <f t="shared" si="16"/>
        <v>5.4613921643210439E-2</v>
      </c>
      <c r="L61" s="11">
        <f t="shared" si="17"/>
        <v>7.8094217342190353E-2</v>
      </c>
      <c r="M61" s="11">
        <f t="shared" si="18"/>
        <v>3.712140665943231E-2</v>
      </c>
      <c r="N61" s="11">
        <f t="shared" si="19"/>
        <v>2.8576424134413747E-2</v>
      </c>
      <c r="O61" s="11">
        <f t="shared" si="20"/>
        <v>-1.0752688172043112E-2</v>
      </c>
      <c r="P61" s="11">
        <f>IF(D61="","",D61/MAX($D$2:D61)-1)</f>
        <v>-6.3058009313390895E-2</v>
      </c>
      <c r="Q61" s="11">
        <f>IF(E61="","",E61/MAX($E$2:E61)-1)</f>
        <v>0</v>
      </c>
      <c r="R61" s="11">
        <f>IF(H61="","",H61/MAX($H$2:H61)-1)</f>
        <v>0</v>
      </c>
      <c r="S61" s="12">
        <f t="shared" si="12"/>
        <v>182762.48483889681</v>
      </c>
      <c r="T61" s="12">
        <f t="shared" si="21"/>
        <v>184856.97853521165</v>
      </c>
      <c r="U61" s="12">
        <f t="shared" si="22"/>
        <v>211661.48190896836</v>
      </c>
      <c r="V61" s="12">
        <f t="shared" si="13"/>
        <v>146783.8797317227</v>
      </c>
      <c r="W61" s="12">
        <f t="shared" si="23"/>
        <v>148466.05160134751</v>
      </c>
      <c r="X61" s="12">
        <f t="shared" si="24"/>
        <v>169993.82303075359</v>
      </c>
    </row>
    <row r="62" spans="1:24" ht="15" x14ac:dyDescent="0.3">
      <c r="A62" s="10">
        <v>44197</v>
      </c>
      <c r="B62" s="5">
        <v>73.110600000000005</v>
      </c>
      <c r="C62" s="6">
        <v>1846.09</v>
      </c>
      <c r="D62" s="6">
        <v>134538</v>
      </c>
      <c r="E62" s="7">
        <v>13634.6</v>
      </c>
      <c r="F62" s="7">
        <v>3714.24</v>
      </c>
      <c r="G62" s="8">
        <v>82.3</v>
      </c>
      <c r="H62" s="19">
        <f t="shared" si="0"/>
        <v>271550.31494399998</v>
      </c>
      <c r="I62" s="11">
        <f t="shared" si="14"/>
        <v>-6.912570718355826E-3</v>
      </c>
      <c r="J62" s="11">
        <f t="shared" si="15"/>
        <v>-2.6575410363355534E-2</v>
      </c>
      <c r="K62" s="11">
        <f t="shared" si="16"/>
        <v>-2.9510419897712636E-2</v>
      </c>
      <c r="L62" s="11">
        <f t="shared" si="17"/>
        <v>-2.4828794678777633E-2</v>
      </c>
      <c r="M62" s="11">
        <f t="shared" si="18"/>
        <v>-1.1136640158463607E-2</v>
      </c>
      <c r="N62" s="11">
        <f t="shared" si="19"/>
        <v>-1.7972228064159324E-2</v>
      </c>
      <c r="O62" s="11">
        <f t="shared" si="20"/>
        <v>-6.0386473429951959E-3</v>
      </c>
      <c r="P62" s="11">
        <f>IF(D62="","",D62/MAX($D$2:D62)-1)</f>
        <v>-9.0707560878351412E-2</v>
      </c>
      <c r="Q62" s="11">
        <f>IF(E62="","",E62/MAX($E$2:E62)-1)</f>
        <v>-2.4828794678777633E-2</v>
      </c>
      <c r="R62" s="11">
        <f>IF(H62="","",H62/MAX($H$2:H62)-1)</f>
        <v>-1.7972228064159324E-2</v>
      </c>
      <c r="S62" s="12">
        <f t="shared" si="12"/>
        <v>177369.08716975161</v>
      </c>
      <c r="T62" s="12">
        <f t="shared" si="21"/>
        <v>180267.20257022165</v>
      </c>
      <c r="U62" s="12">
        <f t="shared" si="22"/>
        <v>207857.45348370244</v>
      </c>
      <c r="V62" s="12">
        <f t="shared" si="13"/>
        <v>143317.67067786734</v>
      </c>
      <c r="W62" s="12">
        <f t="shared" si="23"/>
        <v>145659.40426390935</v>
      </c>
      <c r="X62" s="12">
        <f t="shared" si="24"/>
        <v>167952.86338598072</v>
      </c>
    </row>
    <row r="63" spans="1:24" ht="15" x14ac:dyDescent="0.3">
      <c r="A63" s="10">
        <v>44228</v>
      </c>
      <c r="B63" s="5">
        <v>72.805300000000003</v>
      </c>
      <c r="C63" s="6">
        <v>1733.49</v>
      </c>
      <c r="D63" s="6">
        <v>128140</v>
      </c>
      <c r="E63" s="7">
        <v>14529.15</v>
      </c>
      <c r="F63" s="7">
        <v>3811.15</v>
      </c>
      <c r="G63" s="8">
        <v>82.5</v>
      </c>
      <c r="H63" s="19">
        <f t="shared" si="0"/>
        <v>277471.91909500002</v>
      </c>
      <c r="I63" s="11">
        <f t="shared" si="14"/>
        <v>-4.1758650592390589E-3</v>
      </c>
      <c r="J63" s="11">
        <f t="shared" si="15"/>
        <v>-6.0993776034754532E-2</v>
      </c>
      <c r="K63" s="11">
        <f t="shared" si="16"/>
        <v>-4.7555337525457486E-2</v>
      </c>
      <c r="L63" s="11">
        <f t="shared" si="17"/>
        <v>6.5608818740557018E-2</v>
      </c>
      <c r="M63" s="11">
        <f t="shared" si="18"/>
        <v>2.6091474971999817E-2</v>
      </c>
      <c r="N63" s="11">
        <f t="shared" si="19"/>
        <v>2.1806655434081224E-2</v>
      </c>
      <c r="O63" s="11">
        <f t="shared" si="20"/>
        <v>2.430133657351119E-3</v>
      </c>
      <c r="P63" s="11">
        <f>IF(D63="","",D63/MAX($D$2:D63)-1)</f>
        <v>-0.133949269730128</v>
      </c>
      <c r="Q63" s="11">
        <f>IF(E63="","",E63/MAX($E$2:E63)-1)</f>
        <v>0</v>
      </c>
      <c r="R63" s="11">
        <f>IF(H63="","",H63/MAX($H$2:H63)-1)</f>
        <v>0</v>
      </c>
      <c r="S63" s="12">
        <f t="shared" si="12"/>
        <v>168934.2403628118</v>
      </c>
      <c r="T63" s="12">
        <f t="shared" si="21"/>
        <v>192094.32078851861</v>
      </c>
      <c r="U63" s="12">
        <f t="shared" si="22"/>
        <v>212390.12935122711</v>
      </c>
      <c r="V63" s="12">
        <f t="shared" si="13"/>
        <v>136171.23617123617</v>
      </c>
      <c r="W63" s="12">
        <f t="shared" si="23"/>
        <v>154839.66463559377</v>
      </c>
      <c r="X63" s="12">
        <f t="shared" si="24"/>
        <v>171199.31638614062</v>
      </c>
    </row>
    <row r="64" spans="1:24" ht="15" x14ac:dyDescent="0.3">
      <c r="A64" s="10">
        <v>44256</v>
      </c>
      <c r="B64" s="5">
        <v>72.819599999999994</v>
      </c>
      <c r="C64" s="6">
        <v>1707.01</v>
      </c>
      <c r="D64" s="6">
        <v>124864</v>
      </c>
      <c r="E64" s="7">
        <v>14690.7</v>
      </c>
      <c r="F64" s="7">
        <v>3972.89</v>
      </c>
      <c r="G64" s="8">
        <v>82.6</v>
      </c>
      <c r="H64" s="19">
        <f t="shared" si="0"/>
        <v>289304.26064399997</v>
      </c>
      <c r="I64" s="11">
        <f t="shared" si="14"/>
        <v>1.9641427203787032E-4</v>
      </c>
      <c r="J64" s="11">
        <f t="shared" si="15"/>
        <v>-1.527554240289819E-2</v>
      </c>
      <c r="K64" s="11">
        <f t="shared" si="16"/>
        <v>-2.5565787420009367E-2</v>
      </c>
      <c r="L64" s="11">
        <f t="shared" si="17"/>
        <v>1.111902623346861E-2</v>
      </c>
      <c r="M64" s="11">
        <f t="shared" si="18"/>
        <v>4.2438634008107767E-2</v>
      </c>
      <c r="N64" s="11">
        <f t="shared" si="19"/>
        <v>4.2643383833550486E-2</v>
      </c>
      <c r="O64" s="11">
        <f t="shared" si="20"/>
        <v>1.2121212121212199E-3</v>
      </c>
      <c r="P64" s="11">
        <f>IF(D64="","",D64/MAX($D$2:D64)-1)</f>
        <v>-0.15609053859515132</v>
      </c>
      <c r="Q64" s="11">
        <f>IF(E64="","",E64/MAX($E$2:E64)-1)</f>
        <v>0</v>
      </c>
      <c r="R64" s="11">
        <f>IF(H64="","",H64/MAX($H$2:H64)-1)</f>
        <v>0</v>
      </c>
      <c r="S64" s="12">
        <f t="shared" si="12"/>
        <v>164615.30348573538</v>
      </c>
      <c r="T64" s="12">
        <f t="shared" si="21"/>
        <v>194230.22258066648</v>
      </c>
      <c r="U64" s="12">
        <f t="shared" si="22"/>
        <v>221447.16315960893</v>
      </c>
      <c r="V64" s="12">
        <f t="shared" si="13"/>
        <v>132529.26975546495</v>
      </c>
      <c r="W64" s="12">
        <f t="shared" si="23"/>
        <v>156371.78936579084</v>
      </c>
      <c r="X64" s="12">
        <f t="shared" si="24"/>
        <v>178283.73305222753</v>
      </c>
    </row>
    <row r="65" spans="1:24" ht="15" x14ac:dyDescent="0.3">
      <c r="A65" s="10">
        <v>44287</v>
      </c>
      <c r="B65" s="5">
        <v>74.518600000000006</v>
      </c>
      <c r="C65" s="6">
        <v>1768.59</v>
      </c>
      <c r="D65" s="6">
        <v>130964</v>
      </c>
      <c r="E65" s="7">
        <v>14631.1</v>
      </c>
      <c r="F65" s="7">
        <v>4181.17</v>
      </c>
      <c r="G65" s="8">
        <v>83.1</v>
      </c>
      <c r="H65" s="19">
        <f t="shared" si="0"/>
        <v>311574.93476200005</v>
      </c>
      <c r="I65" s="11">
        <f t="shared" si="14"/>
        <v>2.3331630495086575E-2</v>
      </c>
      <c r="J65" s="11">
        <f t="shared" si="15"/>
        <v>3.6074774020070199E-2</v>
      </c>
      <c r="K65" s="11">
        <f t="shared" si="16"/>
        <v>4.8853152229625829E-2</v>
      </c>
      <c r="L65" s="11">
        <f t="shared" si="17"/>
        <v>-4.0569884348601315E-3</v>
      </c>
      <c r="M65" s="11">
        <f t="shared" si="18"/>
        <v>5.242531255584737E-2</v>
      </c>
      <c r="N65" s="11">
        <f t="shared" si="19"/>
        <v>7.6980111072076474E-2</v>
      </c>
      <c r="O65" s="11">
        <f t="shared" si="20"/>
        <v>6.0532687651331241E-3</v>
      </c>
      <c r="P65" s="11">
        <f>IF(D65="","",D65/MAX($D$2:D65)-1)</f>
        <v>-0.1148629012091188</v>
      </c>
      <c r="Q65" s="11">
        <f>IF(E65="","",E65/MAX($E$2:E65)-1)</f>
        <v>-4.0569884348601315E-3</v>
      </c>
      <c r="R65" s="11">
        <f>IF(H65="","",H65/MAX($H$2:H65)-1)</f>
        <v>0</v>
      </c>
      <c r="S65" s="12">
        <f t="shared" si="12"/>
        <v>172657.27996625006</v>
      </c>
      <c r="T65" s="12">
        <f t="shared" si="21"/>
        <v>193442.23281395639</v>
      </c>
      <c r="U65" s="12">
        <f t="shared" si="22"/>
        <v>238494.19037623185</v>
      </c>
      <c r="V65" s="12">
        <f t="shared" si="13"/>
        <v>138167.37807166824</v>
      </c>
      <c r="W65" s="12">
        <f t="shared" si="23"/>
        <v>154800.34274522384</v>
      </c>
      <c r="X65" s="12">
        <f t="shared" si="24"/>
        <v>190852.75162478242</v>
      </c>
    </row>
    <row r="66" spans="1:24" ht="15" x14ac:dyDescent="0.3">
      <c r="A66" s="10">
        <v>44317</v>
      </c>
      <c r="B66" s="5">
        <v>73.206500000000005</v>
      </c>
      <c r="C66" s="6">
        <v>1906.36</v>
      </c>
      <c r="D66" s="6">
        <v>138344</v>
      </c>
      <c r="E66" s="7">
        <v>15582.8</v>
      </c>
      <c r="F66" s="7">
        <v>4204.1099999999997</v>
      </c>
      <c r="G66" s="8">
        <v>84.5</v>
      </c>
      <c r="H66" s="19">
        <f t="shared" si="0"/>
        <v>307768.17871499999</v>
      </c>
      <c r="I66" s="11">
        <f t="shared" si="14"/>
        <v>-1.7607684524400646E-2</v>
      </c>
      <c r="J66" s="11">
        <f t="shared" si="15"/>
        <v>7.7898212700512781E-2</v>
      </c>
      <c r="K66" s="11">
        <f t="shared" si="16"/>
        <v>5.6351363733545101E-2</v>
      </c>
      <c r="L66" s="11">
        <f t="shared" si="17"/>
        <v>6.5046373820150105E-2</v>
      </c>
      <c r="M66" s="11">
        <f t="shared" si="18"/>
        <v>5.4865025818131574E-3</v>
      </c>
      <c r="N66" s="11">
        <f t="shared" si="19"/>
        <v>-1.2217786549190479E-2</v>
      </c>
      <c r="O66" s="11">
        <f t="shared" si="20"/>
        <v>1.6847172081829287E-2</v>
      </c>
      <c r="P66" s="11">
        <f>IF(D66="","",D66/MAX($D$2:D66)-1)</f>
        <v>-6.4984218601098931E-2</v>
      </c>
      <c r="Q66" s="11">
        <f>IF(E66="","",E66/MAX($E$2:E66)-1)</f>
        <v>0</v>
      </c>
      <c r="R66" s="11">
        <f>IF(H66="","",H66/MAX($H$2:H66)-1)</f>
        <v>-1.2217786549190479E-2</v>
      </c>
      <c r="S66" s="12">
        <f t="shared" si="12"/>
        <v>182386.75315087274</v>
      </c>
      <c r="T66" s="12">
        <f t="shared" si="21"/>
        <v>206024.94860217755</v>
      </c>
      <c r="U66" s="12">
        <f t="shared" si="22"/>
        <v>235580.31926499307</v>
      </c>
      <c r="V66" s="12">
        <f t="shared" si="13"/>
        <v>143535.13709506553</v>
      </c>
      <c r="W66" s="12">
        <f t="shared" si="23"/>
        <v>162137.9773023054</v>
      </c>
      <c r="X66" s="12">
        <f t="shared" si="24"/>
        <v>185397.52936239101</v>
      </c>
    </row>
    <row r="67" spans="1:24" ht="15" x14ac:dyDescent="0.3">
      <c r="A67" s="10">
        <v>44348</v>
      </c>
      <c r="B67" s="5">
        <v>73.578199999999995</v>
      </c>
      <c r="C67" s="6">
        <v>1769.8</v>
      </c>
      <c r="D67" s="6">
        <v>131594</v>
      </c>
      <c r="E67" s="7">
        <v>15721.5</v>
      </c>
      <c r="F67" s="7">
        <v>4297.5</v>
      </c>
      <c r="G67" s="8">
        <v>85</v>
      </c>
      <c r="H67" s="19">
        <f t="shared" ref="H67:H130" si="25">F67*B67</f>
        <v>316202.31449999998</v>
      </c>
      <c r="I67" s="11">
        <f t="shared" ref="I67:I98" si="26">IF(OR(B67="",B66=""),"",B67/B66-1)</f>
        <v>5.0774179888397608E-3</v>
      </c>
      <c r="J67" s="11">
        <f t="shared" ref="J67:J98" si="27">IF(OR(C67="",C66=""),"",C67/C66-1)</f>
        <v>-7.1633899158605852E-2</v>
      </c>
      <c r="K67" s="11">
        <f t="shared" ref="K67:K98" si="28">IF(OR(D67="",D66=""),"",D67/D66-1)</f>
        <v>-4.8791418493031813E-2</v>
      </c>
      <c r="L67" s="11">
        <f t="shared" ref="L67:L98" si="29">IF(OR(E67="",E66=""),"",E67/E66-1)</f>
        <v>8.9008393870164682E-3</v>
      </c>
      <c r="M67" s="11">
        <f t="shared" ref="M67:M98" si="30">IF(OR(F67="",F66=""),"",F67/F66-1)</f>
        <v>2.221397632316946E-2</v>
      </c>
      <c r="N67" s="11">
        <f t="shared" ref="N67:N98" si="31">IF(OR(H67="",H66=""),"",H67/H66-1)</f>
        <v>2.7404183954996109E-2</v>
      </c>
      <c r="O67" s="11">
        <f t="shared" ref="O67:O98" si="32">IF(OR(G67="",G66=""),"",G67/G66-1)</f>
        <v>5.9171597633136397E-3</v>
      </c>
      <c r="P67" s="11">
        <f>IF(D67="","",D67/MAX($D$2:D67)-1)</f>
        <v>-0.11060496488892191</v>
      </c>
      <c r="Q67" s="11">
        <f>IF(E67="","",E67/MAX($E$2:E67)-1)</f>
        <v>0</v>
      </c>
      <c r="R67" s="11">
        <f>IF(H67="","",H67/MAX($H$2:H67)-1)</f>
        <v>0</v>
      </c>
      <c r="S67" s="12">
        <f t="shared" si="12"/>
        <v>173487.84475030322</v>
      </c>
      <c r="T67" s="12">
        <f t="shared" ref="T67:T98" si="33">IF(E67="","",100000*E67/$E$2)</f>
        <v>207858.74357940385</v>
      </c>
      <c r="U67" s="12">
        <f t="shared" ref="U67:U98" si="34">IF(H67="","",100000*H67/$H$2)</f>
        <v>242036.20567030762</v>
      </c>
      <c r="V67" s="12">
        <f t="shared" si="13"/>
        <v>135728.72559876664</v>
      </c>
      <c r="W67" s="12">
        <f t="shared" ref="W67:W98" si="35">IF(OR(T67="",G67="",$G$2=""),"",T67*$G$2/G67)</f>
        <v>162618.89938859243</v>
      </c>
      <c r="X67" s="12">
        <f t="shared" ref="X67:X98" si="36">IF(OR(U67="",G67="",$G$2=""),"",U67*$G$2/G67)</f>
        <v>189357.73737735831</v>
      </c>
    </row>
    <row r="68" spans="1:24" ht="15" x14ac:dyDescent="0.3">
      <c r="A68" s="10">
        <v>44378</v>
      </c>
      <c r="B68" s="5">
        <v>74.539000000000001</v>
      </c>
      <c r="C68" s="6">
        <v>1813.58</v>
      </c>
      <c r="D68" s="6">
        <v>134817</v>
      </c>
      <c r="E68" s="7">
        <v>15763.05</v>
      </c>
      <c r="F68" s="7">
        <v>4395.26</v>
      </c>
      <c r="G68" s="8">
        <v>85.6</v>
      </c>
      <c r="H68" s="19">
        <f t="shared" si="25"/>
        <v>327618.28514000005</v>
      </c>
      <c r="I68" s="11">
        <f t="shared" si="26"/>
        <v>1.3058215612776758E-2</v>
      </c>
      <c r="J68" s="11">
        <f t="shared" si="27"/>
        <v>2.4737258447282251E-2</v>
      </c>
      <c r="K68" s="11">
        <f t="shared" si="28"/>
        <v>2.4491998115415692E-2</v>
      </c>
      <c r="L68" s="11">
        <f t="shared" si="29"/>
        <v>2.6428775880162902E-3</v>
      </c>
      <c r="M68" s="11">
        <f t="shared" si="30"/>
        <v>2.274810936591054E-2</v>
      </c>
      <c r="N68" s="11">
        <f t="shared" si="31"/>
        <v>3.6103374695570345E-2</v>
      </c>
      <c r="O68" s="11">
        <f t="shared" si="32"/>
        <v>7.058823529411784E-3</v>
      </c>
      <c r="P68" s="11">
        <f>IF(D68="","",D68/MAX($D$2:D68)-1)</f>
        <v>-8.8821903365121413E-2</v>
      </c>
      <c r="Q68" s="11">
        <f>IF(E68="","",E68/MAX($E$2:E68)-1)</f>
        <v>0</v>
      </c>
      <c r="R68" s="11">
        <f>IF(H68="","",H68/MAX($H$2:H68)-1)</f>
        <v>0</v>
      </c>
      <c r="S68" s="12">
        <f t="shared" ref="S68:S130" si="37">IF(D68="","",100000*D68/$D$2)</f>
        <v>177736.90871697516</v>
      </c>
      <c r="T68" s="12">
        <f t="shared" si="33"/>
        <v>208408.0887942831</v>
      </c>
      <c r="U68" s="12">
        <f t="shared" si="34"/>
        <v>250774.52949351686</v>
      </c>
      <c r="V68" s="12">
        <f t="shared" ref="V68:V130" si="38">IF(OR(S68="",G68="",$G$2=""),"",S68*$G$2/G68)</f>
        <v>138078.32277662205</v>
      </c>
      <c r="W68" s="12">
        <f t="shared" si="35"/>
        <v>161905.81664509143</v>
      </c>
      <c r="X68" s="12">
        <f t="shared" si="36"/>
        <v>194818.99779578121</v>
      </c>
    </row>
    <row r="69" spans="1:24" ht="15" x14ac:dyDescent="0.3">
      <c r="A69" s="10">
        <v>44409</v>
      </c>
      <c r="B69" s="5">
        <v>74.115499999999997</v>
      </c>
      <c r="C69" s="6">
        <v>1813.43</v>
      </c>
      <c r="D69" s="6">
        <v>132225</v>
      </c>
      <c r="E69" s="7">
        <v>17132.2</v>
      </c>
      <c r="F69" s="7">
        <v>4522.68</v>
      </c>
      <c r="G69" s="8">
        <v>85.8</v>
      </c>
      <c r="H69" s="19">
        <f t="shared" si="25"/>
        <v>335200.68953999999</v>
      </c>
      <c r="I69" s="11">
        <f t="shared" si="26"/>
        <v>-5.6815895034814101E-3</v>
      </c>
      <c r="J69" s="11">
        <f t="shared" si="27"/>
        <v>-8.2709337332675936E-5</v>
      </c>
      <c r="K69" s="11">
        <f t="shared" si="28"/>
        <v>-1.922606199514898E-2</v>
      </c>
      <c r="L69" s="11">
        <f t="shared" si="29"/>
        <v>8.6858190515160638E-2</v>
      </c>
      <c r="M69" s="11">
        <f t="shared" si="30"/>
        <v>2.8990321391681118E-2</v>
      </c>
      <c r="N69" s="11">
        <f t="shared" si="31"/>
        <v>2.3144020782478014E-2</v>
      </c>
      <c r="O69" s="11">
        <f t="shared" si="32"/>
        <v>2.3364485981309802E-3</v>
      </c>
      <c r="P69" s="11">
        <f>IF(D69="","",D69/MAX($D$2:D69)-1)</f>
        <v>-0.1063402699396454</v>
      </c>
      <c r="Q69" s="11">
        <f>IF(E69="","",E69/MAX($E$2:E69)-1)</f>
        <v>0</v>
      </c>
      <c r="R69" s="11">
        <f>IF(H69="","",H69/MAX($H$2:H69)-1)</f>
        <v>0</v>
      </c>
      <c r="S69" s="12">
        <f t="shared" si="37"/>
        <v>174319.72789115645</v>
      </c>
      <c r="T69" s="12">
        <f t="shared" si="33"/>
        <v>226510.03827567742</v>
      </c>
      <c r="U69" s="12">
        <f t="shared" si="34"/>
        <v>256578.46041583098</v>
      </c>
      <c r="V69" s="12">
        <f t="shared" si="38"/>
        <v>135107.9476079476</v>
      </c>
      <c r="W69" s="12">
        <f t="shared" si="35"/>
        <v>175558.47954933043</v>
      </c>
      <c r="X69" s="12">
        <f t="shared" si="36"/>
        <v>198863.25894700186</v>
      </c>
    </row>
    <row r="70" spans="1:24" ht="15" x14ac:dyDescent="0.3">
      <c r="A70" s="10">
        <v>44440</v>
      </c>
      <c r="B70" s="5">
        <v>73.6357</v>
      </c>
      <c r="C70" s="6">
        <v>1756.66</v>
      </c>
      <c r="D70" s="6">
        <v>130253</v>
      </c>
      <c r="E70" s="7">
        <v>17618.150000000001</v>
      </c>
      <c r="F70" s="7">
        <v>4307.54</v>
      </c>
      <c r="G70" s="8">
        <v>86</v>
      </c>
      <c r="H70" s="19">
        <f t="shared" si="25"/>
        <v>317188.72317800001</v>
      </c>
      <c r="I70" s="11">
        <f t="shared" si="26"/>
        <v>-6.4736795946865877E-3</v>
      </c>
      <c r="J70" s="11">
        <f t="shared" si="27"/>
        <v>-3.130531644452772E-2</v>
      </c>
      <c r="K70" s="11">
        <f t="shared" si="28"/>
        <v>-1.4913972395537933E-2</v>
      </c>
      <c r="L70" s="11">
        <f t="shared" si="29"/>
        <v>2.8364716732235173E-2</v>
      </c>
      <c r="M70" s="11">
        <f t="shared" si="30"/>
        <v>-4.7569140421166334E-2</v>
      </c>
      <c r="N70" s="11">
        <f t="shared" si="31"/>
        <v>-5.3734872642171583E-2</v>
      </c>
      <c r="O70" s="11">
        <f t="shared" si="32"/>
        <v>2.3310023310023631E-3</v>
      </c>
      <c r="P70" s="11">
        <f>IF(D70="","",D70/MAX($D$2:D70)-1)</f>
        <v>-0.11966828648476946</v>
      </c>
      <c r="Q70" s="11">
        <f>IF(E70="","",E70/MAX($E$2:E70)-1)</f>
        <v>0</v>
      </c>
      <c r="R70" s="11">
        <f>IF(H70="","",H70/MAX($H$2:H70)-1)</f>
        <v>-5.3734872642171583E-2</v>
      </c>
      <c r="S70" s="12">
        <f t="shared" si="37"/>
        <v>171719.92828139008</v>
      </c>
      <c r="T70" s="12">
        <f t="shared" si="33"/>
        <v>232934.93134837478</v>
      </c>
      <c r="U70" s="12">
        <f t="shared" si="34"/>
        <v>242791.24952266185</v>
      </c>
      <c r="V70" s="12">
        <f t="shared" si="38"/>
        <v>132783.43291526093</v>
      </c>
      <c r="W70" s="12">
        <f t="shared" si="35"/>
        <v>180118.28993798746</v>
      </c>
      <c r="X70" s="12">
        <f t="shared" si="36"/>
        <v>187739.7452704304</v>
      </c>
    </row>
    <row r="71" spans="1:24" ht="15" x14ac:dyDescent="0.3">
      <c r="A71" s="10">
        <v>44470</v>
      </c>
      <c r="B71" s="5">
        <v>74.92</v>
      </c>
      <c r="C71" s="6">
        <v>1782.81</v>
      </c>
      <c r="D71" s="6">
        <v>133560</v>
      </c>
      <c r="E71" s="7">
        <v>17671.650000000001</v>
      </c>
      <c r="F71" s="7">
        <v>4605.38</v>
      </c>
      <c r="G71" s="8">
        <v>87.2</v>
      </c>
      <c r="H71" s="19">
        <f t="shared" si="25"/>
        <v>345035.06959999999</v>
      </c>
      <c r="I71" s="11">
        <f t="shared" si="26"/>
        <v>1.7441268297850199E-2</v>
      </c>
      <c r="J71" s="11">
        <f t="shared" si="27"/>
        <v>1.4886204501724842E-2</v>
      </c>
      <c r="K71" s="11">
        <f t="shared" si="28"/>
        <v>2.5389050540102653E-2</v>
      </c>
      <c r="L71" s="11">
        <f t="shared" si="29"/>
        <v>3.0366411910445201E-3</v>
      </c>
      <c r="M71" s="11">
        <f t="shared" si="30"/>
        <v>6.9143873301234615E-2</v>
      </c>
      <c r="N71" s="11">
        <f t="shared" si="31"/>
        <v>8.7791098444484073E-2</v>
      </c>
      <c r="O71" s="11">
        <f t="shared" si="32"/>
        <v>1.3953488372093092E-2</v>
      </c>
      <c r="P71" s="11">
        <f>IF(D71="","",D71/MAX($D$2:D71)-1)</f>
        <v>-9.7317500118276001E-2</v>
      </c>
      <c r="Q71" s="11">
        <f>IF(E71="","",E71/MAX($E$2:E71)-1)</f>
        <v>0</v>
      </c>
      <c r="R71" s="11">
        <f>IF(H71="","",H71/MAX($H$2:H71)-1)</f>
        <v>0</v>
      </c>
      <c r="S71" s="12">
        <f t="shared" si="37"/>
        <v>176079.7342192691</v>
      </c>
      <c r="T71" s="12">
        <f t="shared" si="33"/>
        <v>233642.2711557404</v>
      </c>
      <c r="U71" s="12">
        <f t="shared" si="34"/>
        <v>264106.16001096513</v>
      </c>
      <c r="V71" s="12">
        <f t="shared" si="38"/>
        <v>134280.98997226372</v>
      </c>
      <c r="W71" s="12">
        <f t="shared" si="35"/>
        <v>178179.02559468732</v>
      </c>
      <c r="X71" s="12">
        <f t="shared" si="36"/>
        <v>201411.23441203189</v>
      </c>
    </row>
    <row r="72" spans="1:24" ht="15" x14ac:dyDescent="0.3">
      <c r="A72" s="10">
        <v>44501</v>
      </c>
      <c r="B72" s="5">
        <v>74.477000000000004</v>
      </c>
      <c r="C72" s="6">
        <v>1773.78</v>
      </c>
      <c r="D72" s="6">
        <v>133193</v>
      </c>
      <c r="E72" s="7">
        <v>16983.2</v>
      </c>
      <c r="F72" s="7">
        <v>4567</v>
      </c>
      <c r="G72" s="8">
        <v>87.8</v>
      </c>
      <c r="H72" s="19">
        <f t="shared" si="25"/>
        <v>340136.45900000003</v>
      </c>
      <c r="I72" s="11">
        <f t="shared" si="26"/>
        <v>-5.9129738387613262E-3</v>
      </c>
      <c r="J72" s="11">
        <f t="shared" si="27"/>
        <v>-5.0650377774411615E-3</v>
      </c>
      <c r="K72" s="11">
        <f t="shared" si="28"/>
        <v>-2.7478286912249184E-3</v>
      </c>
      <c r="L72" s="11">
        <f t="shared" si="29"/>
        <v>-3.8957878862471818E-2</v>
      </c>
      <c r="M72" s="11">
        <f t="shared" si="30"/>
        <v>-8.3337314184714906E-3</v>
      </c>
      <c r="N72" s="11">
        <f t="shared" si="31"/>
        <v>-1.4197428121375921E-2</v>
      </c>
      <c r="O72" s="11">
        <f t="shared" si="32"/>
        <v>6.8807339449541427E-3</v>
      </c>
      <c r="P72" s="11">
        <f>IF(D72="","",D72/MAX($D$2:D72)-1)</f>
        <v>-9.9797916990517654E-2</v>
      </c>
      <c r="Q72" s="11">
        <f>IF(E72="","",E72/MAX($E$2:E72)-1)</f>
        <v>-3.8957878862471818E-2</v>
      </c>
      <c r="R72" s="11">
        <f>IF(H72="","",H72/MAX($H$2:H72)-1)</f>
        <v>-1.4197428121375921E-2</v>
      </c>
      <c r="S72" s="12">
        <f t="shared" si="37"/>
        <v>175595.89727363814</v>
      </c>
      <c r="T72" s="12">
        <f t="shared" si="33"/>
        <v>224540.06385890223</v>
      </c>
      <c r="U72" s="12">
        <f t="shared" si="34"/>
        <v>260356.53178779682</v>
      </c>
      <c r="V72" s="12">
        <f t="shared" si="38"/>
        <v>132996.89258196967</v>
      </c>
      <c r="W72" s="12">
        <f t="shared" si="35"/>
        <v>170067.36043982915</v>
      </c>
      <c r="X72" s="12">
        <f t="shared" si="36"/>
        <v>197194.86747025611</v>
      </c>
    </row>
    <row r="73" spans="1:24" ht="15" x14ac:dyDescent="0.3">
      <c r="A73" s="10">
        <v>44531</v>
      </c>
      <c r="B73" s="5">
        <v>75.394800000000004</v>
      </c>
      <c r="C73" s="6">
        <v>1828.39</v>
      </c>
      <c r="D73" s="6">
        <v>136155</v>
      </c>
      <c r="E73" s="7">
        <v>17354.05</v>
      </c>
      <c r="F73" s="7">
        <v>4766.18</v>
      </c>
      <c r="G73" s="8">
        <v>87.5</v>
      </c>
      <c r="H73" s="19">
        <f t="shared" si="25"/>
        <v>359345.18786400004</v>
      </c>
      <c r="I73" s="11">
        <f t="shared" si="26"/>
        <v>1.2323267585966136E-2</v>
      </c>
      <c r="J73" s="11">
        <f t="shared" si="27"/>
        <v>3.0787358071463267E-2</v>
      </c>
      <c r="K73" s="11">
        <f t="shared" si="28"/>
        <v>2.223840592223314E-2</v>
      </c>
      <c r="L73" s="11">
        <f t="shared" si="29"/>
        <v>2.1836285270149247E-2</v>
      </c>
      <c r="M73" s="11">
        <f t="shared" si="30"/>
        <v>4.3612874972629889E-2</v>
      </c>
      <c r="N73" s="11">
        <f t="shared" si="31"/>
        <v>5.6473595687076772E-2</v>
      </c>
      <c r="O73" s="11">
        <f t="shared" si="32"/>
        <v>-3.4168564920272759E-3</v>
      </c>
      <c r="P73" s="11">
        <f>IF(D73="","",D73/MAX($D$2:D73)-1)</f>
        <v>-7.9778857656512936E-2</v>
      </c>
      <c r="Q73" s="11">
        <f>IF(E73="","",E73/MAX($E$2:E73)-1)</f>
        <v>-1.7972288948683413E-2</v>
      </c>
      <c r="R73" s="11">
        <f>IF(H73="","",H73/MAX($H$2:H73)-1)</f>
        <v>0</v>
      </c>
      <c r="S73" s="12">
        <f t="shared" si="37"/>
        <v>179500.87011548807</v>
      </c>
      <c r="T73" s="12">
        <f t="shared" si="33"/>
        <v>229443.18474790276</v>
      </c>
      <c r="U73" s="12">
        <f t="shared" si="34"/>
        <v>275059.80129847041</v>
      </c>
      <c r="V73" s="12">
        <f t="shared" si="38"/>
        <v>136420.66128777093</v>
      </c>
      <c r="W73" s="12">
        <f t="shared" si="35"/>
        <v>174376.82040840611</v>
      </c>
      <c r="X73" s="12">
        <f t="shared" si="36"/>
        <v>209045.44898683752</v>
      </c>
    </row>
    <row r="74" spans="1:24" ht="15" x14ac:dyDescent="0.3">
      <c r="A74" s="10">
        <v>44562</v>
      </c>
      <c r="B74" s="5">
        <v>74.407499999999999</v>
      </c>
      <c r="C74" s="6">
        <v>1796.47</v>
      </c>
      <c r="D74" s="6">
        <v>133911</v>
      </c>
      <c r="E74" s="7">
        <v>17339.849999999999</v>
      </c>
      <c r="F74" s="7">
        <v>4515.55</v>
      </c>
      <c r="G74" s="8">
        <v>87.3</v>
      </c>
      <c r="H74" s="19">
        <f t="shared" si="25"/>
        <v>335990.78662500001</v>
      </c>
      <c r="I74" s="11">
        <f t="shared" si="26"/>
        <v>-1.3095067564341423E-2</v>
      </c>
      <c r="J74" s="11">
        <f t="shared" si="27"/>
        <v>-1.7457982159167384E-2</v>
      </c>
      <c r="K74" s="11">
        <f t="shared" si="28"/>
        <v>-1.6481216260879172E-2</v>
      </c>
      <c r="L74" s="11">
        <f t="shared" si="29"/>
        <v>-8.1825279977876253E-4</v>
      </c>
      <c r="M74" s="11">
        <f t="shared" si="30"/>
        <v>-5.2585089106999772E-2</v>
      </c>
      <c r="N74" s="11">
        <f t="shared" si="31"/>
        <v>-6.4991551376608059E-2</v>
      </c>
      <c r="O74" s="11">
        <f t="shared" si="32"/>
        <v>-2.2857142857143353E-3</v>
      </c>
      <c r="P74" s="11">
        <f>IF(D74="","",D74/MAX($D$2:D74)-1)</f>
        <v>-9.4945221311309225E-2</v>
      </c>
      <c r="Q74" s="11">
        <f>IF(E74="","",E74/MAX($E$2:E74)-1)</f>
        <v>-1.8775835872711588E-2</v>
      </c>
      <c r="R74" s="11">
        <f>IF(H74="","",H74/MAX($H$2:H74)-1)</f>
        <v>-6.4991551376608059E-2</v>
      </c>
      <c r="S74" s="12">
        <f t="shared" si="37"/>
        <v>176542.47745609871</v>
      </c>
      <c r="T74" s="12">
        <f t="shared" si="33"/>
        <v>229255.4422195926</v>
      </c>
      <c r="U74" s="12">
        <f t="shared" si="34"/>
        <v>257183.2380907413</v>
      </c>
      <c r="V74" s="12">
        <f t="shared" si="38"/>
        <v>134479.66495796753</v>
      </c>
      <c r="W74" s="12">
        <f t="shared" si="35"/>
        <v>174633.29791068623</v>
      </c>
      <c r="X74" s="12">
        <f t="shared" si="36"/>
        <v>195907.04848836537</v>
      </c>
    </row>
    <row r="75" spans="1:24" ht="15" x14ac:dyDescent="0.3">
      <c r="A75" s="10">
        <v>44593</v>
      </c>
      <c r="B75" s="5">
        <v>74.969499999999996</v>
      </c>
      <c r="C75" s="6">
        <v>1907.9</v>
      </c>
      <c r="D75" s="6">
        <v>144063</v>
      </c>
      <c r="E75" s="7">
        <v>16793.900000000001</v>
      </c>
      <c r="F75" s="7">
        <v>4373.9399999999996</v>
      </c>
      <c r="G75" s="8">
        <v>87.5</v>
      </c>
      <c r="H75" s="19">
        <f t="shared" si="25"/>
        <v>327912.09482999996</v>
      </c>
      <c r="I75" s="11">
        <f t="shared" si="26"/>
        <v>7.553002049524471E-3</v>
      </c>
      <c r="J75" s="11">
        <f t="shared" si="27"/>
        <v>6.2027197782317689E-2</v>
      </c>
      <c r="K75" s="11">
        <f t="shared" si="28"/>
        <v>7.5811546474897407E-2</v>
      </c>
      <c r="L75" s="11">
        <f t="shared" si="29"/>
        <v>-3.1485278131010208E-2</v>
      </c>
      <c r="M75" s="11">
        <f t="shared" si="30"/>
        <v>-3.1360520866782648E-2</v>
      </c>
      <c r="N75" s="11">
        <f t="shared" si="31"/>
        <v>-2.4044384895639093E-2</v>
      </c>
      <c r="O75" s="11">
        <f t="shared" si="32"/>
        <v>2.2909507445589838E-3</v>
      </c>
      <c r="P75" s="11">
        <f>IF(D75="","",D75/MAX($D$2:D75)-1)</f>
        <v>-2.6331618894423481E-2</v>
      </c>
      <c r="Q75" s="11">
        <f>IF(E75="","",E75/MAX($E$2:E75)-1)</f>
        <v>-4.9669951589127237E-2</v>
      </c>
      <c r="R75" s="11">
        <f>IF(H75="","",H75/MAX($H$2:H75)-1)</f>
        <v>-8.7473254395983302E-2</v>
      </c>
      <c r="S75" s="12">
        <f t="shared" si="37"/>
        <v>189926.43569055528</v>
      </c>
      <c r="T75" s="12">
        <f t="shared" si="33"/>
        <v>222037.27085826104</v>
      </c>
      <c r="U75" s="12">
        <f t="shared" si="34"/>
        <v>250999.42532538073</v>
      </c>
      <c r="V75" s="12">
        <f t="shared" si="38"/>
        <v>144344.09112482201</v>
      </c>
      <c r="W75" s="12">
        <f t="shared" si="35"/>
        <v>168748.32585227839</v>
      </c>
      <c r="X75" s="12">
        <f t="shared" si="36"/>
        <v>190759.56324728936</v>
      </c>
    </row>
    <row r="76" spans="1:24" ht="15" x14ac:dyDescent="0.3">
      <c r="A76" s="10">
        <v>44621</v>
      </c>
      <c r="B76" s="5">
        <v>76.189599999999999</v>
      </c>
      <c r="C76" s="6">
        <v>1937.23</v>
      </c>
      <c r="D76" s="6">
        <v>146952</v>
      </c>
      <c r="E76" s="7">
        <v>17464.75</v>
      </c>
      <c r="F76" s="7">
        <v>4530.41</v>
      </c>
      <c r="G76" s="8">
        <v>88.3</v>
      </c>
      <c r="H76" s="19">
        <f t="shared" si="25"/>
        <v>345170.12573599996</v>
      </c>
      <c r="I76" s="11">
        <f t="shared" si="26"/>
        <v>1.627461834479349E-2</v>
      </c>
      <c r="J76" s="11">
        <f t="shared" si="27"/>
        <v>1.5372923109177483E-2</v>
      </c>
      <c r="K76" s="11">
        <f t="shared" si="28"/>
        <v>2.005372649465853E-2</v>
      </c>
      <c r="L76" s="11">
        <f t="shared" si="29"/>
        <v>3.9946051840251462E-2</v>
      </c>
      <c r="M76" s="11">
        <f t="shared" si="30"/>
        <v>3.5773238773280092E-2</v>
      </c>
      <c r="N76" s="11">
        <f t="shared" si="31"/>
        <v>5.2630052926065707E-2</v>
      </c>
      <c r="O76" s="11">
        <f t="shared" si="32"/>
        <v>9.1428571428571193E-3</v>
      </c>
      <c r="P76" s="11">
        <f>IF(D76="","",D76/MAX($D$2:D76)-1)</f>
        <v>-6.8059394832352682E-3</v>
      </c>
      <c r="Q76" s="11">
        <f>IF(E76="","",E76/MAX($E$2:E76)-1)</f>
        <v>-1.1708018209957816E-2</v>
      </c>
      <c r="R76" s="11">
        <f>IF(H76="","",H76/MAX($H$2:H76)-1)</f>
        <v>-3.9446923478393292E-2</v>
      </c>
      <c r="S76" s="12">
        <f t="shared" si="37"/>
        <v>193735.16848599905</v>
      </c>
      <c r="T76" s="12">
        <f t="shared" si="33"/>
        <v>230906.78319043305</v>
      </c>
      <c r="U76" s="12">
        <f t="shared" si="34"/>
        <v>264209.53836466762</v>
      </c>
      <c r="V76" s="12">
        <f t="shared" si="38"/>
        <v>145904.74183826655</v>
      </c>
      <c r="W76" s="12">
        <f t="shared" si="35"/>
        <v>173899.21950355376</v>
      </c>
      <c r="X76" s="12">
        <f t="shared" si="36"/>
        <v>198980.00341166928</v>
      </c>
    </row>
    <row r="77" spans="1:24" ht="15" x14ac:dyDescent="0.3">
      <c r="A77" s="10">
        <v>44652</v>
      </c>
      <c r="B77" s="5">
        <v>76.171899999999994</v>
      </c>
      <c r="C77" s="6">
        <v>1896.4</v>
      </c>
      <c r="D77" s="6">
        <v>145115</v>
      </c>
      <c r="E77" s="7">
        <v>17102.55</v>
      </c>
      <c r="F77" s="7">
        <v>4131.93</v>
      </c>
      <c r="G77" s="8">
        <v>89.6</v>
      </c>
      <c r="H77" s="19">
        <f t="shared" si="25"/>
        <v>314736.958767</v>
      </c>
      <c r="I77" s="11">
        <f t="shared" si="26"/>
        <v>-2.3231517162458637E-4</v>
      </c>
      <c r="J77" s="11">
        <f t="shared" si="27"/>
        <v>-2.1076485497333763E-2</v>
      </c>
      <c r="K77" s="11">
        <f t="shared" si="28"/>
        <v>-1.2500680494311078E-2</v>
      </c>
      <c r="L77" s="11">
        <f t="shared" si="29"/>
        <v>-2.0738916961307807E-2</v>
      </c>
      <c r="M77" s="11">
        <f t="shared" si="30"/>
        <v>-8.7956719149039353E-2</v>
      </c>
      <c r="N77" s="11">
        <f t="shared" si="31"/>
        <v>-8.8168600640359251E-2</v>
      </c>
      <c r="O77" s="11">
        <f t="shared" si="32"/>
        <v>1.4722536806341946E-2</v>
      </c>
      <c r="P77" s="11">
        <f>IF(D77="","",D77/MAX($D$2:D77)-1)</f>
        <v>-1.9221541102602768E-2</v>
      </c>
      <c r="Q77" s="11">
        <f>IF(E77="","",E77/MAX($E$2:E77)-1)</f>
        <v>-3.2204123553827846E-2</v>
      </c>
      <c r="R77" s="11">
        <f>IF(H77="","",H77/MAX($H$2:H77)-1)</f>
        <v>-0.12413754407609523</v>
      </c>
      <c r="S77" s="12">
        <f t="shared" si="37"/>
        <v>191313.34704424406</v>
      </c>
      <c r="T77" s="12">
        <f t="shared" si="33"/>
        <v>226118.02658804395</v>
      </c>
      <c r="U77" s="12">
        <f t="shared" si="34"/>
        <v>240914.55309121957</v>
      </c>
      <c r="V77" s="12">
        <f t="shared" si="38"/>
        <v>141990.37475939991</v>
      </c>
      <c r="W77" s="12">
        <f t="shared" si="35"/>
        <v>167821.97285831391</v>
      </c>
      <c r="X77" s="12">
        <f t="shared" si="36"/>
        <v>178803.76987238953</v>
      </c>
    </row>
    <row r="78" spans="1:24" ht="15" x14ac:dyDescent="0.3">
      <c r="A78" s="10">
        <v>44682</v>
      </c>
      <c r="B78" s="5">
        <v>77.293300000000002</v>
      </c>
      <c r="C78" s="6">
        <v>1837.09</v>
      </c>
      <c r="D78" s="6">
        <v>142486</v>
      </c>
      <c r="E78" s="7">
        <v>16584.55</v>
      </c>
      <c r="F78" s="7">
        <v>4132.1499999999996</v>
      </c>
      <c r="G78" s="8">
        <v>90.4</v>
      </c>
      <c r="H78" s="19">
        <f t="shared" si="25"/>
        <v>319387.50959499995</v>
      </c>
      <c r="I78" s="11">
        <f t="shared" si="26"/>
        <v>1.4721964398945131E-2</v>
      </c>
      <c r="J78" s="11">
        <f t="shared" si="27"/>
        <v>-3.1275047458342198E-2</v>
      </c>
      <c r="K78" s="11">
        <f t="shared" si="28"/>
        <v>-1.8116666092409472E-2</v>
      </c>
      <c r="L78" s="11">
        <f t="shared" si="29"/>
        <v>-3.0287881046978327E-2</v>
      </c>
      <c r="M78" s="11">
        <f t="shared" si="30"/>
        <v>5.3243883608722342E-5</v>
      </c>
      <c r="N78" s="11">
        <f t="shared" si="31"/>
        <v>1.477599213711267E-2</v>
      </c>
      <c r="O78" s="11">
        <f t="shared" si="32"/>
        <v>8.9285714285716189E-3</v>
      </c>
      <c r="P78" s="11">
        <f>IF(D78="","",D78/MAX($D$2:D78)-1)</f>
        <v>-3.6989976953074821E-2</v>
      </c>
      <c r="Q78" s="11">
        <f>IF(E78="","",E78/MAX($E$2:E78)-1)</f>
        <v>-6.1516609937385724E-2</v>
      </c>
      <c r="R78" s="11">
        <f>IF(H78="","",H78/MAX($H$2:H78)-1)</f>
        <v>-0.11119580731417145</v>
      </c>
      <c r="S78" s="12">
        <f t="shared" si="37"/>
        <v>187847.38701682223</v>
      </c>
      <c r="T78" s="12">
        <f t="shared" si="33"/>
        <v>219269.3906961678</v>
      </c>
      <c r="U78" s="12">
        <f t="shared" si="34"/>
        <v>244474.30463341143</v>
      </c>
      <c r="V78" s="12">
        <f t="shared" si="38"/>
        <v>138184.19509533935</v>
      </c>
      <c r="W78" s="12">
        <f t="shared" si="35"/>
        <v>161298.83275768982</v>
      </c>
      <c r="X78" s="12">
        <f t="shared" si="36"/>
        <v>179840.05816506484</v>
      </c>
    </row>
    <row r="79" spans="1:24" ht="15" x14ac:dyDescent="0.3">
      <c r="A79" s="10">
        <v>44713</v>
      </c>
      <c r="B79" s="5">
        <v>78.09</v>
      </c>
      <c r="C79" s="6">
        <v>1806.89</v>
      </c>
      <c r="D79" s="6">
        <v>142618</v>
      </c>
      <c r="E79" s="7">
        <v>15780.25</v>
      </c>
      <c r="F79" s="7">
        <v>3785.38</v>
      </c>
      <c r="G79" s="8">
        <v>90.9</v>
      </c>
      <c r="H79" s="19">
        <f t="shared" si="25"/>
        <v>295600.32420000003</v>
      </c>
      <c r="I79" s="11">
        <f t="shared" si="26"/>
        <v>1.0307491076199327E-2</v>
      </c>
      <c r="J79" s="11">
        <f t="shared" si="27"/>
        <v>-1.6439042180840246E-2</v>
      </c>
      <c r="K79" s="11">
        <f t="shared" si="28"/>
        <v>9.2640680487909854E-4</v>
      </c>
      <c r="L79" s="11">
        <f t="shared" si="29"/>
        <v>-4.8496944445281853E-2</v>
      </c>
      <c r="M79" s="11">
        <f t="shared" si="30"/>
        <v>-8.3919993223866451E-2</v>
      </c>
      <c r="N79" s="11">
        <f t="shared" si="31"/>
        <v>-7.4477506728936604E-2</v>
      </c>
      <c r="O79" s="11">
        <f t="shared" si="32"/>
        <v>5.530973451327359E-3</v>
      </c>
      <c r="P79" s="11">
        <f>IF(D79="","",D79/MAX($D$2:D79)-1)</f>
        <v>-3.6097837914557451E-2</v>
      </c>
      <c r="Q79" s="11">
        <f>IF(E79="","",E79/MAX($E$2:E79)-1)</f>
        <v>-0.10703018676807208</v>
      </c>
      <c r="R79" s="11">
        <f>IF(H79="","",H79/MAX($H$2:H79)-1)</f>
        <v>-0.17739172755563737</v>
      </c>
      <c r="S79" s="12">
        <f t="shared" si="37"/>
        <v>188021.41011443338</v>
      </c>
      <c r="T79" s="12">
        <f t="shared" si="33"/>
        <v>208635.49523702494</v>
      </c>
      <c r="U79" s="12">
        <f t="shared" si="34"/>
        <v>226266.46796502444</v>
      </c>
      <c r="V79" s="12">
        <f t="shared" si="38"/>
        <v>137551.41664037204</v>
      </c>
      <c r="W79" s="12">
        <f t="shared" si="35"/>
        <v>152632.12797868159</v>
      </c>
      <c r="X79" s="12">
        <f t="shared" si="36"/>
        <v>165530.47436385177</v>
      </c>
    </row>
    <row r="80" spans="1:24" ht="15" x14ac:dyDescent="0.3">
      <c r="A80" s="10">
        <v>44743</v>
      </c>
      <c r="B80" s="5">
        <v>79.591499999999996</v>
      </c>
      <c r="C80" s="6">
        <v>1765.22</v>
      </c>
      <c r="D80" s="6">
        <v>140075</v>
      </c>
      <c r="E80" s="7">
        <v>17158.25</v>
      </c>
      <c r="F80" s="7">
        <v>4130.29</v>
      </c>
      <c r="G80" s="8">
        <v>91.3</v>
      </c>
      <c r="H80" s="19">
        <f t="shared" si="25"/>
        <v>328735.97653499997</v>
      </c>
      <c r="I80" s="11">
        <f t="shared" si="26"/>
        <v>1.9227814060699178E-2</v>
      </c>
      <c r="J80" s="11">
        <f t="shared" si="27"/>
        <v>-2.3061724842132092E-2</v>
      </c>
      <c r="K80" s="11">
        <f t="shared" si="28"/>
        <v>-1.7830848840959757E-2</v>
      </c>
      <c r="L80" s="11">
        <f t="shared" si="29"/>
        <v>8.7324345305048956E-2</v>
      </c>
      <c r="M80" s="11">
        <f t="shared" si="30"/>
        <v>9.1116347632205885E-2</v>
      </c>
      <c r="N80" s="11">
        <f t="shared" si="31"/>
        <v>0.11209612988306716</v>
      </c>
      <c r="O80" s="11">
        <f t="shared" si="32"/>
        <v>4.4004400440043057E-3</v>
      </c>
      <c r="P80" s="11">
        <f>IF(D80="","",D80/MAX($D$2:D80)-1)</f>
        <v>-5.3285031664177196E-2</v>
      </c>
      <c r="Q80" s="11">
        <f>IF(E80="","",E80/MAX($E$2:E80)-1)</f>
        <v>-2.905218245042207E-2</v>
      </c>
      <c r="R80" s="11">
        <f>IF(H80="","",H80/MAX($H$2:H80)-1)</f>
        <v>-8.5180523804828656E-2</v>
      </c>
      <c r="S80" s="12">
        <f t="shared" si="37"/>
        <v>184668.82877181881</v>
      </c>
      <c r="T80" s="12">
        <f t="shared" si="33"/>
        <v>226854.45326599281</v>
      </c>
      <c r="U80" s="12">
        <f t="shared" si="34"/>
        <v>251630.06334621465</v>
      </c>
      <c r="V80" s="12">
        <f t="shared" si="38"/>
        <v>134506.86871112764</v>
      </c>
      <c r="W80" s="12">
        <f t="shared" si="35"/>
        <v>165233.52839198819</v>
      </c>
      <c r="X80" s="12">
        <f t="shared" si="36"/>
        <v>183279.29038908298</v>
      </c>
    </row>
    <row r="81" spans="1:24" ht="15" x14ac:dyDescent="0.3">
      <c r="A81" s="10">
        <v>44774</v>
      </c>
      <c r="B81" s="5">
        <v>79.506500000000003</v>
      </c>
      <c r="C81" s="6">
        <v>1710.7</v>
      </c>
      <c r="D81" s="6">
        <v>135921</v>
      </c>
      <c r="E81" s="7">
        <v>17759.3</v>
      </c>
      <c r="F81" s="7">
        <v>3955</v>
      </c>
      <c r="G81" s="8">
        <v>91.8</v>
      </c>
      <c r="H81" s="19">
        <f t="shared" si="25"/>
        <v>314448.20750000002</v>
      </c>
      <c r="I81" s="11">
        <f t="shared" si="26"/>
        <v>-1.0679532362123378E-3</v>
      </c>
      <c r="J81" s="11">
        <f t="shared" si="27"/>
        <v>-3.0885668641869035E-2</v>
      </c>
      <c r="K81" s="11">
        <f t="shared" si="28"/>
        <v>-2.9655541674103114E-2</v>
      </c>
      <c r="L81" s="11">
        <f t="shared" si="29"/>
        <v>3.5029796162195925E-2</v>
      </c>
      <c r="M81" s="11">
        <f t="shared" si="30"/>
        <v>-4.2440119216810457E-2</v>
      </c>
      <c r="N81" s="11">
        <f t="shared" si="31"/>
        <v>-4.3462748390359907E-2</v>
      </c>
      <c r="O81" s="11">
        <f t="shared" si="32"/>
        <v>5.4764512595837367E-3</v>
      </c>
      <c r="P81" s="11">
        <f>IF(D81="","",D81/MAX($D$2:D81)-1)</f>
        <v>-8.1360376861157491E-2</v>
      </c>
      <c r="Q81" s="11">
        <f>IF(E81="","",E81/MAX($E$2:E81)-1)</f>
        <v>0</v>
      </c>
      <c r="R81" s="11">
        <f>IF(H81="","",H81/MAX($H$2:H81)-1)</f>
        <v>-0.12494109252130015</v>
      </c>
      <c r="S81" s="12">
        <f t="shared" si="37"/>
        <v>179192.37462426833</v>
      </c>
      <c r="T81" s="12">
        <f t="shared" si="33"/>
        <v>234801.11852238697</v>
      </c>
      <c r="U81" s="12">
        <f t="shared" si="34"/>
        <v>240693.52921554778</v>
      </c>
      <c r="V81" s="12">
        <f t="shared" si="38"/>
        <v>129807.11233675211</v>
      </c>
      <c r="W81" s="12">
        <f t="shared" si="35"/>
        <v>170090.13487732827</v>
      </c>
      <c r="X81" s="12">
        <f t="shared" si="36"/>
        <v>174358.60231845235</v>
      </c>
    </row>
    <row r="82" spans="1:24" ht="15" x14ac:dyDescent="0.3">
      <c r="A82" s="10">
        <v>44805</v>
      </c>
      <c r="B82" s="5">
        <v>80.253799999999998</v>
      </c>
      <c r="C82" s="6">
        <v>1659.67</v>
      </c>
      <c r="D82" s="6">
        <v>135288</v>
      </c>
      <c r="E82" s="7">
        <v>17094.349999999999</v>
      </c>
      <c r="F82" s="7">
        <v>3585.62</v>
      </c>
      <c r="G82" s="8">
        <v>92.3</v>
      </c>
      <c r="H82" s="19">
        <f t="shared" si="25"/>
        <v>287759.63035599998</v>
      </c>
      <c r="I82" s="11">
        <f t="shared" si="26"/>
        <v>9.3992315093733847E-3</v>
      </c>
      <c r="J82" s="11">
        <f t="shared" si="27"/>
        <v>-2.9829894195358642E-2</v>
      </c>
      <c r="K82" s="11">
        <f t="shared" si="28"/>
        <v>-4.6571170017878361E-3</v>
      </c>
      <c r="L82" s="11">
        <f t="shared" si="29"/>
        <v>-3.7442354146841383E-2</v>
      </c>
      <c r="M82" s="11">
        <f t="shared" si="30"/>
        <v>-9.3395701643489315E-2</v>
      </c>
      <c r="N82" s="11">
        <f t="shared" si="31"/>
        <v>-8.4874317955843437E-2</v>
      </c>
      <c r="O82" s="11">
        <f t="shared" si="32"/>
        <v>5.4466230936818238E-3</v>
      </c>
      <c r="P82" s="11">
        <f>IF(D82="","",D82/MAX($D$2:D82)-1)</f>
        <v>-8.563858906859334E-2</v>
      </c>
      <c r="Q82" s="11">
        <f>IF(E82="","",E82/MAX($E$2:E82)-1)</f>
        <v>-3.7442354146841383E-2</v>
      </c>
      <c r="R82" s="11">
        <f>IF(H82="","",H82/MAX($H$2:H82)-1)</f>
        <v>-0.19921112046474032</v>
      </c>
      <c r="S82" s="12">
        <f t="shared" si="37"/>
        <v>178357.85476981491</v>
      </c>
      <c r="T82" s="12">
        <f t="shared" si="33"/>
        <v>226009.61188859725</v>
      </c>
      <c r="U82" s="12">
        <f t="shared" si="34"/>
        <v>220264.83008699332</v>
      </c>
      <c r="V82" s="12">
        <f t="shared" si="38"/>
        <v>128502.67976373447</v>
      </c>
      <c r="W82" s="12">
        <f t="shared" si="35"/>
        <v>162834.66078647581</v>
      </c>
      <c r="X82" s="12">
        <f t="shared" si="36"/>
        <v>158695.67931511436</v>
      </c>
    </row>
    <row r="83" spans="1:24" ht="15" x14ac:dyDescent="0.3">
      <c r="A83" s="10">
        <v>44835</v>
      </c>
      <c r="B83" s="5">
        <v>82.291499999999999</v>
      </c>
      <c r="C83" s="6">
        <v>1633.12</v>
      </c>
      <c r="D83" s="6">
        <v>135166</v>
      </c>
      <c r="E83" s="7">
        <v>18012.2</v>
      </c>
      <c r="F83" s="7">
        <v>3871.98</v>
      </c>
      <c r="G83" s="8">
        <v>93.1</v>
      </c>
      <c r="H83" s="19">
        <f t="shared" si="25"/>
        <v>318631.04216999997</v>
      </c>
      <c r="I83" s="11">
        <f t="shared" si="26"/>
        <v>2.5390698010561596E-2</v>
      </c>
      <c r="J83" s="11">
        <f t="shared" si="27"/>
        <v>-1.5997156061144824E-2</v>
      </c>
      <c r="K83" s="11">
        <f t="shared" si="28"/>
        <v>-9.0177990656969964E-4</v>
      </c>
      <c r="L83" s="11">
        <f t="shared" si="29"/>
        <v>5.3693179325332796E-2</v>
      </c>
      <c r="M83" s="11">
        <f t="shared" si="30"/>
        <v>7.9863454576893256E-2</v>
      </c>
      <c r="N83" s="11">
        <f t="shared" si="31"/>
        <v>0.10728194144469683</v>
      </c>
      <c r="O83" s="11">
        <f t="shared" si="32"/>
        <v>8.6673889490791467E-3</v>
      </c>
      <c r="P83" s="11">
        <f>IF(D83="","",D83/MAX($D$2:D83)-1)</f>
        <v>-8.6463141816313982E-2</v>
      </c>
      <c r="Q83" s="11">
        <f>IF(E83="","",E83/MAX($E$2:E83)-1)</f>
        <v>0</v>
      </c>
      <c r="R83" s="11">
        <f>IF(H83="","",H83/MAX($H$2:H83)-1)</f>
        <v>-0.11330093478087422</v>
      </c>
      <c r="S83" s="12">
        <f t="shared" si="37"/>
        <v>178197.01524020461</v>
      </c>
      <c r="T83" s="12">
        <f t="shared" si="33"/>
        <v>238144.78650898056</v>
      </c>
      <c r="U83" s="12">
        <f t="shared" si="34"/>
        <v>243895.2686907122</v>
      </c>
      <c r="V83" s="12">
        <f t="shared" si="38"/>
        <v>127283.58231443186</v>
      </c>
      <c r="W83" s="12">
        <f t="shared" si="35"/>
        <v>170103.41893498611</v>
      </c>
      <c r="X83" s="12">
        <f t="shared" si="36"/>
        <v>174210.90620765157</v>
      </c>
    </row>
    <row r="84" spans="1:24" ht="15" x14ac:dyDescent="0.3">
      <c r="A84" s="10">
        <v>44866</v>
      </c>
      <c r="B84" s="5">
        <v>81.680499999999995</v>
      </c>
      <c r="C84" s="6">
        <v>1768.45</v>
      </c>
      <c r="D84" s="6">
        <v>143831</v>
      </c>
      <c r="E84" s="7">
        <v>18758.349999999999</v>
      </c>
      <c r="F84" s="7">
        <v>4080.11</v>
      </c>
      <c r="G84" s="8">
        <v>93</v>
      </c>
      <c r="H84" s="19">
        <f t="shared" si="25"/>
        <v>333265.42485499999</v>
      </c>
      <c r="I84" s="11">
        <f t="shared" si="26"/>
        <v>-7.4248251642029528E-3</v>
      </c>
      <c r="J84" s="11">
        <f t="shared" si="27"/>
        <v>8.2865925345351421E-2</v>
      </c>
      <c r="K84" s="11">
        <f t="shared" si="28"/>
        <v>6.410635810780807E-2</v>
      </c>
      <c r="L84" s="11">
        <f t="shared" si="29"/>
        <v>4.1424701035964295E-2</v>
      </c>
      <c r="M84" s="11">
        <f t="shared" si="30"/>
        <v>5.3752860293699856E-2</v>
      </c>
      <c r="N84" s="11">
        <f t="shared" si="31"/>
        <v>4.5928929539740482E-2</v>
      </c>
      <c r="O84" s="11">
        <f t="shared" si="32"/>
        <v>-1.0741138560687036E-3</v>
      </c>
      <c r="P84" s="11">
        <f>IF(D84="","",D84/MAX($D$2:D84)-1)</f>
        <v>-2.7899620840908579E-2</v>
      </c>
      <c r="Q84" s="11">
        <f>IF(E84="","",E84/MAX($E$2:E84)-1)</f>
        <v>0</v>
      </c>
      <c r="R84" s="11">
        <f>IF(H84="","",H84/MAX($H$2:H84)-1)</f>
        <v>-7.2575795891471229E-2</v>
      </c>
      <c r="S84" s="12">
        <f t="shared" si="37"/>
        <v>189620.57691293571</v>
      </c>
      <c r="T84" s="12">
        <f t="shared" si="33"/>
        <v>248009.86309338865</v>
      </c>
      <c r="U84" s="12">
        <f t="shared" si="34"/>
        <v>255097.11730148402</v>
      </c>
      <c r="V84" s="12">
        <f t="shared" si="38"/>
        <v>135588.90714742176</v>
      </c>
      <c r="W84" s="12">
        <f t="shared" si="35"/>
        <v>177340.38597538005</v>
      </c>
      <c r="X84" s="12">
        <f t="shared" si="36"/>
        <v>182408.15376934072</v>
      </c>
    </row>
    <row r="85" spans="1:24" ht="15" x14ac:dyDescent="0.3">
      <c r="A85" s="10">
        <v>44896</v>
      </c>
      <c r="B85" s="5">
        <v>82.473799999999997</v>
      </c>
      <c r="C85" s="6">
        <v>1824.4</v>
      </c>
      <c r="D85" s="6">
        <v>150909</v>
      </c>
      <c r="E85" s="7">
        <v>18105.3</v>
      </c>
      <c r="F85" s="7">
        <v>3839.5</v>
      </c>
      <c r="G85" s="8">
        <v>92.5</v>
      </c>
      <c r="H85" s="19">
        <f t="shared" si="25"/>
        <v>316658.15509999997</v>
      </c>
      <c r="I85" s="11">
        <f t="shared" si="26"/>
        <v>9.7122324177740804E-3</v>
      </c>
      <c r="J85" s="11">
        <f t="shared" si="27"/>
        <v>3.1637874975260827E-2</v>
      </c>
      <c r="K85" s="11">
        <f t="shared" si="28"/>
        <v>4.9210531804687374E-2</v>
      </c>
      <c r="L85" s="11">
        <f t="shared" si="29"/>
        <v>-3.4813829574562805E-2</v>
      </c>
      <c r="M85" s="11">
        <f t="shared" si="30"/>
        <v>-5.8971449299161094E-2</v>
      </c>
      <c r="N85" s="11">
        <f t="shared" si="31"/>
        <v>-4.9831961302993388E-2</v>
      </c>
      <c r="O85" s="11">
        <f t="shared" si="32"/>
        <v>-5.3763440860215006E-3</v>
      </c>
      <c r="P85" s="11">
        <f>IF(D85="","",D85/MAX($D$2:D85)-1)</f>
        <v>0</v>
      </c>
      <c r="Q85" s="11">
        <f>IF(E85="","",E85/MAX($E$2:E85)-1)</f>
        <v>-3.4813829574562805E-2</v>
      </c>
      <c r="R85" s="11">
        <f>IF(H85="","",H85/MAX($H$2:H85)-1)</f>
        <v>-0.11879116294206693</v>
      </c>
      <c r="S85" s="12">
        <f t="shared" si="37"/>
        <v>198951.90634393293</v>
      </c>
      <c r="T85" s="12">
        <f t="shared" si="33"/>
        <v>239375.68998684481</v>
      </c>
      <c r="U85" s="12">
        <f t="shared" si="34"/>
        <v>242385.12762361128</v>
      </c>
      <c r="V85" s="12">
        <f t="shared" si="38"/>
        <v>143030.28942563827</v>
      </c>
      <c r="W85" s="12">
        <f t="shared" si="35"/>
        <v>172091.71226081275</v>
      </c>
      <c r="X85" s="12">
        <f t="shared" si="36"/>
        <v>174255.2539131908</v>
      </c>
    </row>
    <row r="86" spans="1:24" ht="15" x14ac:dyDescent="0.3">
      <c r="A86" s="10">
        <v>44927</v>
      </c>
      <c r="B86" s="5">
        <v>81.741</v>
      </c>
      <c r="C86" s="6">
        <v>1927.88</v>
      </c>
      <c r="D86" s="6">
        <v>157527</v>
      </c>
      <c r="E86" s="7">
        <v>17662.150000000001</v>
      </c>
      <c r="F86" s="7">
        <v>4076.6</v>
      </c>
      <c r="G86" s="8">
        <v>93</v>
      </c>
      <c r="H86" s="19">
        <f t="shared" si="25"/>
        <v>333225.36060000001</v>
      </c>
      <c r="I86" s="11">
        <f t="shared" si="26"/>
        <v>-8.8852459811479267E-3</v>
      </c>
      <c r="J86" s="11">
        <f t="shared" si="27"/>
        <v>5.6720017540013101E-2</v>
      </c>
      <c r="K86" s="11">
        <f t="shared" si="28"/>
        <v>4.3854243285688765E-2</v>
      </c>
      <c r="L86" s="11">
        <f t="shared" si="29"/>
        <v>-2.4476258333195111E-2</v>
      </c>
      <c r="M86" s="11">
        <f t="shared" si="30"/>
        <v>6.1752832400052027E-2</v>
      </c>
      <c r="N86" s="11">
        <f t="shared" si="31"/>
        <v>5.2318897312997104E-2</v>
      </c>
      <c r="O86" s="11">
        <f t="shared" si="32"/>
        <v>5.4054054054053502E-3</v>
      </c>
      <c r="P86" s="11">
        <f>IF(D86="","",D86/MAX($D$2:D86)-1)</f>
        <v>0</v>
      </c>
      <c r="Q86" s="11">
        <f>IF(E86="","",E86/MAX($E$2:E86)-1)</f>
        <v>-5.8437975621523086E-2</v>
      </c>
      <c r="R86" s="11">
        <f>IF(H86="","",H86/MAX($H$2:H86)-1)</f>
        <v>-7.2687288284727147E-2</v>
      </c>
      <c r="S86" s="12">
        <f t="shared" si="37"/>
        <v>207676.7916468913</v>
      </c>
      <c r="T86" s="12">
        <f t="shared" si="33"/>
        <v>233516.66876003996</v>
      </c>
      <c r="U86" s="12">
        <f t="shared" si="34"/>
        <v>255066.45022594873</v>
      </c>
      <c r="V86" s="12">
        <f t="shared" si="38"/>
        <v>148500.07144643302</v>
      </c>
      <c r="W86" s="12">
        <f t="shared" si="35"/>
        <v>166976.97282303931</v>
      </c>
      <c r="X86" s="12">
        <f t="shared" si="36"/>
        <v>182386.2251615655</v>
      </c>
    </row>
    <row r="87" spans="1:24" ht="15" x14ac:dyDescent="0.3">
      <c r="A87" s="10">
        <v>44958</v>
      </c>
      <c r="B87" s="5">
        <v>82.599500000000006</v>
      </c>
      <c r="C87" s="6">
        <v>1827.15</v>
      </c>
      <c r="D87" s="6">
        <v>150965</v>
      </c>
      <c r="E87" s="7">
        <v>17303.95</v>
      </c>
      <c r="F87" s="7">
        <v>3970.15</v>
      </c>
      <c r="G87" s="8">
        <v>93.1</v>
      </c>
      <c r="H87" s="19">
        <f t="shared" si="25"/>
        <v>327932.40492500004</v>
      </c>
      <c r="I87" s="11">
        <f t="shared" si="26"/>
        <v>1.0502685310921134E-2</v>
      </c>
      <c r="J87" s="11">
        <f t="shared" si="27"/>
        <v>-5.2249102641243272E-2</v>
      </c>
      <c r="K87" s="11">
        <f t="shared" si="28"/>
        <v>-4.1656350974753509E-2</v>
      </c>
      <c r="L87" s="11">
        <f t="shared" si="29"/>
        <v>-2.0280656658447582E-2</v>
      </c>
      <c r="M87" s="11">
        <f t="shared" si="30"/>
        <v>-2.6112446646715304E-2</v>
      </c>
      <c r="N87" s="11">
        <f t="shared" si="31"/>
        <v>-1.5884012145622961E-2</v>
      </c>
      <c r="O87" s="11">
        <f t="shared" si="32"/>
        <v>1.0752688172042113E-3</v>
      </c>
      <c r="P87" s="11">
        <f>IF(D87="","",D87/MAX($D$2:D87)-1)</f>
        <v>-4.1656350974753509E-2</v>
      </c>
      <c r="Q87" s="11">
        <f>IF(E87="","",E87/MAX($E$2:E87)-1)</f>
        <v>-7.7533471760575901E-2</v>
      </c>
      <c r="R87" s="11">
        <f>IF(H87="","",H87/MAX($H$2:H87)-1)</f>
        <v>-8.7416734660403117E-2</v>
      </c>
      <c r="S87" s="12">
        <f t="shared" si="37"/>
        <v>199025.73432473766</v>
      </c>
      <c r="T87" s="12">
        <f t="shared" si="33"/>
        <v>228780.79737689311</v>
      </c>
      <c r="U87" s="12">
        <f t="shared" si="34"/>
        <v>251014.97163261884</v>
      </c>
      <c r="V87" s="12">
        <f t="shared" si="38"/>
        <v>142161.23880338404</v>
      </c>
      <c r="W87" s="12">
        <f t="shared" si="35"/>
        <v>163414.85526920939</v>
      </c>
      <c r="X87" s="12">
        <f t="shared" si="36"/>
        <v>179296.40830901347</v>
      </c>
    </row>
    <row r="88" spans="1:24" ht="15" x14ac:dyDescent="0.3">
      <c r="A88" s="10">
        <v>44986</v>
      </c>
      <c r="B88" s="5">
        <v>82.266499999999994</v>
      </c>
      <c r="C88" s="6">
        <v>1967.9</v>
      </c>
      <c r="D88" s="6">
        <v>161748</v>
      </c>
      <c r="E88" s="7">
        <v>17359.75</v>
      </c>
      <c r="F88" s="7">
        <v>4109.3100000000004</v>
      </c>
      <c r="G88" s="8">
        <v>93.3</v>
      </c>
      <c r="H88" s="19">
        <f t="shared" si="25"/>
        <v>338058.55111499998</v>
      </c>
      <c r="I88" s="11">
        <f t="shared" si="26"/>
        <v>-4.0315014013403427E-3</v>
      </c>
      <c r="J88" s="11">
        <f t="shared" si="27"/>
        <v>7.7032537011192392E-2</v>
      </c>
      <c r="K88" s="11">
        <f t="shared" si="28"/>
        <v>7.1427151988871618E-2</v>
      </c>
      <c r="L88" s="11">
        <f t="shared" si="29"/>
        <v>3.2246972512055549E-3</v>
      </c>
      <c r="M88" s="11">
        <f t="shared" si="30"/>
        <v>3.5051572358727023E-2</v>
      </c>
      <c r="N88" s="11">
        <f t="shared" si="31"/>
        <v>3.087876049430327E-2</v>
      </c>
      <c r="O88" s="11">
        <f t="shared" si="32"/>
        <v>2.1482277121374072E-3</v>
      </c>
      <c r="P88" s="11">
        <f>IF(D88="","",D88/MAX($D$2:D88)-1)</f>
        <v>0</v>
      </c>
      <c r="Q88" s="11">
        <f>IF(E88="","",E88/MAX($E$2:E88)-1)</f>
        <v>-7.4558796482632972E-2</v>
      </c>
      <c r="R88" s="11">
        <f>IF(H88="","",H88/MAX($H$2:H88)-1)</f>
        <v>-5.9237294578872501E-2</v>
      </c>
      <c r="S88" s="12">
        <f t="shared" si="37"/>
        <v>213241.57570004746</v>
      </c>
      <c r="T88" s="12">
        <f t="shared" si="33"/>
        <v>229518.54618532304</v>
      </c>
      <c r="U88" s="12">
        <f t="shared" si="34"/>
        <v>258766.00282214678</v>
      </c>
      <c r="V88" s="12">
        <f t="shared" si="38"/>
        <v>151988.90443786877</v>
      </c>
      <c r="W88" s="12">
        <f t="shared" si="35"/>
        <v>163590.38929607699</v>
      </c>
      <c r="X88" s="12">
        <f t="shared" si="36"/>
        <v>184436.6472419374</v>
      </c>
    </row>
    <row r="89" spans="1:24" ht="15" x14ac:dyDescent="0.3">
      <c r="A89" s="10">
        <v>45017</v>
      </c>
      <c r="B89" s="5">
        <v>81.968500000000006</v>
      </c>
      <c r="C89" s="6">
        <v>1989.65</v>
      </c>
      <c r="D89" s="6">
        <v>162574</v>
      </c>
      <c r="E89" s="7">
        <v>18065</v>
      </c>
      <c r="F89" s="7">
        <v>4169.4799999999996</v>
      </c>
      <c r="G89" s="8">
        <v>93.8</v>
      </c>
      <c r="H89" s="19">
        <f t="shared" si="25"/>
        <v>341766.02137999999</v>
      </c>
      <c r="I89" s="11">
        <f t="shared" si="26"/>
        <v>-3.6223736271749907E-3</v>
      </c>
      <c r="J89" s="11">
        <f t="shared" si="27"/>
        <v>1.1052390873520057E-2</v>
      </c>
      <c r="K89" s="11">
        <f t="shared" si="28"/>
        <v>5.1067092019685401E-3</v>
      </c>
      <c r="L89" s="11">
        <f t="shared" si="29"/>
        <v>4.0625585045867663E-2</v>
      </c>
      <c r="M89" s="11">
        <f t="shared" si="30"/>
        <v>1.464236088297044E-2</v>
      </c>
      <c r="N89" s="11">
        <f t="shared" si="31"/>
        <v>1.0966947153893569E-2</v>
      </c>
      <c r="O89" s="11">
        <f t="shared" si="32"/>
        <v>5.3590568060022381E-3</v>
      </c>
      <c r="P89" s="11">
        <f>IF(D89="","",D89/MAX($D$2:D89)-1)</f>
        <v>0</v>
      </c>
      <c r="Q89" s="11">
        <f>IF(E89="","",E89/MAX($E$2:E89)-1)</f>
        <v>-3.6962206164188105E-2</v>
      </c>
      <c r="R89" s="11">
        <f>IF(H89="","",H89/MAX($H$2:H89)-1)</f>
        <v>-4.8919999704165162E-2</v>
      </c>
      <c r="S89" s="12">
        <f t="shared" si="37"/>
        <v>214330.53841691714</v>
      </c>
      <c r="T89" s="12">
        <f t="shared" si="33"/>
        <v>238842.87140297875</v>
      </c>
      <c r="U89" s="12">
        <f t="shared" si="34"/>
        <v>261603.87590032155</v>
      </c>
      <c r="V89" s="12">
        <f t="shared" si="38"/>
        <v>151950.75484781439</v>
      </c>
      <c r="W89" s="12">
        <f t="shared" si="35"/>
        <v>169328.90136778346</v>
      </c>
      <c r="X89" s="12">
        <f t="shared" si="36"/>
        <v>185465.43440694438</v>
      </c>
    </row>
    <row r="90" spans="1:24" ht="15" x14ac:dyDescent="0.3">
      <c r="A90" s="10">
        <v>45047</v>
      </c>
      <c r="B90" s="5">
        <v>82.297700000000006</v>
      </c>
      <c r="C90" s="6">
        <v>1962.3</v>
      </c>
      <c r="D90" s="6">
        <v>162177</v>
      </c>
      <c r="E90" s="7">
        <v>18534.400000000001</v>
      </c>
      <c r="F90" s="7">
        <v>4179.83</v>
      </c>
      <c r="G90" s="8">
        <v>94.3</v>
      </c>
      <c r="H90" s="19">
        <f t="shared" si="25"/>
        <v>343990.39539100003</v>
      </c>
      <c r="I90" s="11">
        <f t="shared" si="26"/>
        <v>4.0161769460218544E-3</v>
      </c>
      <c r="J90" s="11">
        <f t="shared" si="27"/>
        <v>-1.3746136255120334E-2</v>
      </c>
      <c r="K90" s="11">
        <f t="shared" si="28"/>
        <v>-2.4419648898348356E-3</v>
      </c>
      <c r="L90" s="11">
        <f t="shared" si="29"/>
        <v>2.5983946858566309E-2</v>
      </c>
      <c r="M90" s="11">
        <f t="shared" si="30"/>
        <v>2.4823239348792381E-3</v>
      </c>
      <c r="N90" s="11">
        <f t="shared" si="31"/>
        <v>6.5084703330611227E-3</v>
      </c>
      <c r="O90" s="11">
        <f t="shared" si="32"/>
        <v>5.3304904051172386E-3</v>
      </c>
      <c r="P90" s="11">
        <f>IF(D90="","",D90/MAX($D$2:D90)-1)</f>
        <v>-2.4419648898348356E-3</v>
      </c>
      <c r="Q90" s="11">
        <f>IF(E90="","",E90/MAX($E$2:E90)-1)</f>
        <v>-1.1938683306367381E-2</v>
      </c>
      <c r="R90" s="11">
        <f>IF(H90="","",H90/MAX($H$2:H90)-1)</f>
        <v>-4.2729923737871989E-2</v>
      </c>
      <c r="S90" s="12">
        <f t="shared" si="37"/>
        <v>213807.15076728366</v>
      </c>
      <c r="T90" s="12">
        <f t="shared" si="33"/>
        <v>245048.95188106116</v>
      </c>
      <c r="U90" s="12">
        <f t="shared" si="34"/>
        <v>263306.51696563262</v>
      </c>
      <c r="V90" s="12">
        <f t="shared" si="38"/>
        <v>150775.98649018415</v>
      </c>
      <c r="W90" s="12">
        <f t="shared" si="35"/>
        <v>172807.58536681408</v>
      </c>
      <c r="X90" s="12">
        <f t="shared" si="36"/>
        <v>185682.75056431143</v>
      </c>
    </row>
    <row r="91" spans="1:24" ht="15" x14ac:dyDescent="0.3">
      <c r="A91" s="10">
        <v>45078</v>
      </c>
      <c r="B91" s="5">
        <v>82.225200000000001</v>
      </c>
      <c r="C91" s="6">
        <v>1919.57</v>
      </c>
      <c r="D91" s="6">
        <v>157581</v>
      </c>
      <c r="E91" s="7">
        <v>19189.05</v>
      </c>
      <c r="F91" s="7">
        <v>4450.38</v>
      </c>
      <c r="G91" s="8">
        <v>95.3</v>
      </c>
      <c r="H91" s="19">
        <f t="shared" si="25"/>
        <v>365933.38557600003</v>
      </c>
      <c r="I91" s="11">
        <f t="shared" si="26"/>
        <v>-8.8094807023775257E-4</v>
      </c>
      <c r="J91" s="11">
        <f t="shared" si="27"/>
        <v>-2.1775467563573403E-2</v>
      </c>
      <c r="K91" s="11">
        <f t="shared" si="28"/>
        <v>-2.8339406944264622E-2</v>
      </c>
      <c r="L91" s="11">
        <f t="shared" si="29"/>
        <v>3.5320808874309328E-2</v>
      </c>
      <c r="M91" s="11">
        <f t="shared" si="30"/>
        <v>6.4727512841431301E-2</v>
      </c>
      <c r="N91" s="11">
        <f t="shared" si="31"/>
        <v>6.3789543193664811E-2</v>
      </c>
      <c r="O91" s="11">
        <f t="shared" si="32"/>
        <v>1.0604453870625585E-2</v>
      </c>
      <c r="P91" s="11">
        <f>IF(D91="","",D91/MAX($D$2:D91)-1)</f>
        <v>-3.0712167997342776E-2</v>
      </c>
      <c r="Q91" s="11">
        <f>IF(E91="","",E91/MAX($E$2:E91)-1)</f>
        <v>0</v>
      </c>
      <c r="R91" s="11">
        <f>IF(H91="","",H91/MAX($H$2:H91)-1)</f>
        <v>0</v>
      </c>
      <c r="S91" s="12">
        <f t="shared" si="37"/>
        <v>207747.98291409586</v>
      </c>
      <c r="T91" s="12">
        <f t="shared" si="33"/>
        <v>253704.27907530192</v>
      </c>
      <c r="U91" s="12">
        <f t="shared" si="34"/>
        <v>280102.71940278524</v>
      </c>
      <c r="V91" s="12">
        <f t="shared" si="38"/>
        <v>144965.80129892315</v>
      </c>
      <c r="W91" s="12">
        <f t="shared" si="35"/>
        <v>177033.94080280775</v>
      </c>
      <c r="X91" s="12">
        <f t="shared" si="36"/>
        <v>195454.67828211145</v>
      </c>
    </row>
    <row r="92" spans="1:24" ht="15" x14ac:dyDescent="0.3">
      <c r="A92" s="10">
        <v>45108</v>
      </c>
      <c r="B92" s="5">
        <v>82.156499999999994</v>
      </c>
      <c r="C92" s="6">
        <v>1964.19</v>
      </c>
      <c r="D92" s="6">
        <v>161568</v>
      </c>
      <c r="E92" s="7">
        <v>19753.8</v>
      </c>
      <c r="F92" s="7">
        <v>4588.96</v>
      </c>
      <c r="G92" s="8">
        <v>98.1</v>
      </c>
      <c r="H92" s="19">
        <f t="shared" si="25"/>
        <v>377012.89223999996</v>
      </c>
      <c r="I92" s="11">
        <f t="shared" si="26"/>
        <v>-8.355102815196247E-4</v>
      </c>
      <c r="J92" s="11">
        <f t="shared" si="27"/>
        <v>2.3244789197580662E-2</v>
      </c>
      <c r="K92" s="11">
        <f t="shared" si="28"/>
        <v>2.5301273630704113E-2</v>
      </c>
      <c r="L92" s="11">
        <f t="shared" si="29"/>
        <v>2.9430847280089489E-2</v>
      </c>
      <c r="M92" s="11">
        <f t="shared" si="30"/>
        <v>3.1138913980379268E-2</v>
      </c>
      <c r="N92" s="11">
        <f t="shared" si="31"/>
        <v>3.0277386816073504E-2</v>
      </c>
      <c r="O92" s="11">
        <f t="shared" si="32"/>
        <v>2.9380902413431276E-2</v>
      </c>
      <c r="P92" s="11">
        <f>IF(D92="","",D92/MAX($D$2:D92)-1)</f>
        <v>-6.187951332931485E-3</v>
      </c>
      <c r="Q92" s="11">
        <f>IF(E92="","",E92/MAX($E$2:E92)-1)</f>
        <v>0</v>
      </c>
      <c r="R92" s="11">
        <f>IF(H92="","",H92/MAX($H$2:H92)-1)</f>
        <v>0</v>
      </c>
      <c r="S92" s="12">
        <f t="shared" si="37"/>
        <v>213004.27147603227</v>
      </c>
      <c r="T92" s="12">
        <f t="shared" si="33"/>
        <v>261171.01096707233</v>
      </c>
      <c r="U92" s="12">
        <f t="shared" si="34"/>
        <v>288583.49778637738</v>
      </c>
      <c r="V92" s="12">
        <f t="shared" si="38"/>
        <v>144391.27475184656</v>
      </c>
      <c r="W92" s="12">
        <f t="shared" si="35"/>
        <v>177042.5303701357</v>
      </c>
      <c r="X92" s="12">
        <f t="shared" si="36"/>
        <v>195624.89911105094</v>
      </c>
    </row>
    <row r="93" spans="1:24" ht="15" x14ac:dyDescent="0.3">
      <c r="A93" s="10">
        <v>45139</v>
      </c>
      <c r="B93" s="5">
        <v>82.812200000000004</v>
      </c>
      <c r="C93" s="6">
        <v>1939.74</v>
      </c>
      <c r="D93" s="6">
        <v>160412</v>
      </c>
      <c r="E93" s="7">
        <v>19253.8</v>
      </c>
      <c r="F93" s="7">
        <v>4507.66</v>
      </c>
      <c r="G93" s="8">
        <v>98.1</v>
      </c>
      <c r="H93" s="19">
        <f t="shared" si="25"/>
        <v>373289.24145199999</v>
      </c>
      <c r="I93" s="11">
        <f t="shared" si="26"/>
        <v>7.9811092244681525E-3</v>
      </c>
      <c r="J93" s="11">
        <f t="shared" si="27"/>
        <v>-1.2447879278481233E-2</v>
      </c>
      <c r="K93" s="11">
        <f t="shared" si="28"/>
        <v>-7.1548821548821362E-3</v>
      </c>
      <c r="L93" s="11">
        <f t="shared" si="29"/>
        <v>-2.5311585618969512E-2</v>
      </c>
      <c r="M93" s="11">
        <f t="shared" si="30"/>
        <v>-1.771643248143373E-2</v>
      </c>
      <c r="N93" s="11">
        <f t="shared" si="31"/>
        <v>-9.8767200396678856E-3</v>
      </c>
      <c r="O93" s="11">
        <f t="shared" si="32"/>
        <v>0</v>
      </c>
      <c r="P93" s="11">
        <f>IF(D93="","",D93/MAX($D$2:D93)-1)</f>
        <v>-1.3298559425246381E-2</v>
      </c>
      <c r="Q93" s="11">
        <f>IF(E93="","",E93/MAX($E$2:E93)-1)</f>
        <v>-2.5311585618969512E-2</v>
      </c>
      <c r="R93" s="11">
        <f>IF(H93="","",H93/MAX($H$2:H93)-1)</f>
        <v>-9.8767200396678856E-3</v>
      </c>
      <c r="S93" s="12">
        <f t="shared" si="37"/>
        <v>211480.25101513474</v>
      </c>
      <c r="T93" s="12">
        <f t="shared" si="33"/>
        <v>254560.35856178644</v>
      </c>
      <c r="U93" s="12">
        <f t="shared" si="34"/>
        <v>285733.23937067325</v>
      </c>
      <c r="V93" s="12">
        <f t="shared" si="38"/>
        <v>143358.17219680388</v>
      </c>
      <c r="W93" s="12">
        <f t="shared" si="35"/>
        <v>172561.30320447299</v>
      </c>
      <c r="X93" s="12">
        <f t="shared" si="36"/>
        <v>193692.76674974285</v>
      </c>
    </row>
    <row r="94" spans="1:24" ht="15" x14ac:dyDescent="0.3">
      <c r="A94" s="10">
        <v>45170</v>
      </c>
      <c r="B94" s="5">
        <v>83.07</v>
      </c>
      <c r="C94" s="6">
        <v>1848.31</v>
      </c>
      <c r="D94" s="6">
        <v>153465</v>
      </c>
      <c r="E94" s="7">
        <v>19638.3</v>
      </c>
      <c r="F94" s="7">
        <v>4288.05</v>
      </c>
      <c r="G94" s="8">
        <v>97</v>
      </c>
      <c r="H94" s="19">
        <f t="shared" si="25"/>
        <v>356208.31349999999</v>
      </c>
      <c r="I94" s="11">
        <f t="shared" si="26"/>
        <v>3.1130678813022783E-3</v>
      </c>
      <c r="J94" s="11">
        <f t="shared" si="27"/>
        <v>-4.7135183065771691E-2</v>
      </c>
      <c r="K94" s="11">
        <f t="shared" si="28"/>
        <v>-4.3307233872777573E-2</v>
      </c>
      <c r="L94" s="11">
        <f t="shared" si="29"/>
        <v>1.9970083827608009E-2</v>
      </c>
      <c r="M94" s="11">
        <f t="shared" si="30"/>
        <v>-4.871929116215501E-2</v>
      </c>
      <c r="N94" s="11">
        <f t="shared" si="31"/>
        <v>-4.5757889741369295E-2</v>
      </c>
      <c r="O94" s="11">
        <f t="shared" si="32"/>
        <v>-1.1213047910295537E-2</v>
      </c>
      <c r="P94" s="11">
        <f>IF(D94="","",D94/MAX($D$2:D94)-1)</f>
        <v>-5.6029869474823801E-2</v>
      </c>
      <c r="Q94" s="11">
        <f>IF(E94="","",E94/MAX($E$2:E94)-1)</f>
        <v>-5.846976277981919E-3</v>
      </c>
      <c r="R94" s="11">
        <f>IF(H94="","",H94/MAX($H$2:H94)-1)</f>
        <v>-5.5182671914455694E-2</v>
      </c>
      <c r="S94" s="12">
        <f t="shared" si="37"/>
        <v>202321.62632494859</v>
      </c>
      <c r="T94" s="12">
        <f t="shared" si="33"/>
        <v>259643.9502614513</v>
      </c>
      <c r="U94" s="12">
        <f t="shared" si="34"/>
        <v>272658.68930810574</v>
      </c>
      <c r="V94" s="12">
        <f t="shared" si="38"/>
        <v>138705.03248050599</v>
      </c>
      <c r="W94" s="12">
        <f t="shared" si="35"/>
        <v>178003.32672563414</v>
      </c>
      <c r="X94" s="12">
        <f t="shared" si="36"/>
        <v>186925.80246380443</v>
      </c>
    </row>
    <row r="95" spans="1:24" ht="15" x14ac:dyDescent="0.3">
      <c r="A95" s="10">
        <v>45200</v>
      </c>
      <c r="B95" s="5">
        <v>83.216200000000001</v>
      </c>
      <c r="C95" s="6">
        <v>1982.7</v>
      </c>
      <c r="D95" s="6">
        <v>165121</v>
      </c>
      <c r="E95" s="7">
        <v>19079.599999999999</v>
      </c>
      <c r="F95" s="7">
        <v>4193.8</v>
      </c>
      <c r="G95" s="8">
        <v>97.6</v>
      </c>
      <c r="H95" s="19">
        <f t="shared" si="25"/>
        <v>348992.09956</v>
      </c>
      <c r="I95" s="11">
        <f t="shared" si="26"/>
        <v>1.7599614782715101E-3</v>
      </c>
      <c r="J95" s="11">
        <f t="shared" si="27"/>
        <v>7.2709664504331029E-2</v>
      </c>
      <c r="K95" s="11">
        <f t="shared" si="28"/>
        <v>7.595217150490341E-2</v>
      </c>
      <c r="L95" s="11">
        <f t="shared" si="29"/>
        <v>-2.844950937708457E-2</v>
      </c>
      <c r="M95" s="11">
        <f t="shared" si="30"/>
        <v>-2.1979687736850106E-2</v>
      </c>
      <c r="N95" s="11">
        <f t="shared" si="31"/>
        <v>-2.025840966229997E-2</v>
      </c>
      <c r="O95" s="11">
        <f t="shared" si="32"/>
        <v>6.1855670103092564E-3</v>
      </c>
      <c r="P95" s="11">
        <f>IF(D95="","",D95/MAX($D$2:D95)-1)</f>
        <v>0</v>
      </c>
      <c r="Q95" s="11">
        <f>IF(E95="","",E95/MAX($E$2:E95)-1)</f>
        <v>-3.4130142048618528E-2</v>
      </c>
      <c r="R95" s="11">
        <f>IF(H95="","",H95/MAX($H$2:H95)-1)</f>
        <v>-7.4323168402852358E-2</v>
      </c>
      <c r="S95" s="12">
        <f t="shared" si="37"/>
        <v>217688.39318673205</v>
      </c>
      <c r="T95" s="12">
        <f t="shared" si="33"/>
        <v>252257.20726378483</v>
      </c>
      <c r="U95" s="12">
        <f t="shared" si="34"/>
        <v>267135.05788211629</v>
      </c>
      <c r="V95" s="12">
        <f t="shared" si="38"/>
        <v>148322.5219971074</v>
      </c>
      <c r="W95" s="12">
        <f t="shared" si="35"/>
        <v>171876.06847378783</v>
      </c>
      <c r="X95" s="12">
        <f t="shared" si="36"/>
        <v>182013.12857746656</v>
      </c>
    </row>
    <row r="96" spans="1:24" ht="15" x14ac:dyDescent="0.3">
      <c r="A96" s="10">
        <v>45231</v>
      </c>
      <c r="B96" s="5">
        <v>83.266000000000005</v>
      </c>
      <c r="C96" s="6">
        <v>2035.75</v>
      </c>
      <c r="D96" s="6">
        <v>169740</v>
      </c>
      <c r="E96" s="7">
        <v>20133.150000000001</v>
      </c>
      <c r="F96" s="7">
        <v>4567.8</v>
      </c>
      <c r="G96" s="8">
        <v>98.1</v>
      </c>
      <c r="H96" s="19">
        <f t="shared" si="25"/>
        <v>380342.43480000005</v>
      </c>
      <c r="I96" s="11">
        <f t="shared" si="26"/>
        <v>5.9844116890706012E-4</v>
      </c>
      <c r="J96" s="11">
        <f t="shared" si="27"/>
        <v>2.6756443233973748E-2</v>
      </c>
      <c r="K96" s="11">
        <f t="shared" si="28"/>
        <v>2.7973425548537101E-2</v>
      </c>
      <c r="L96" s="11">
        <f t="shared" si="29"/>
        <v>5.5218662865049728E-2</v>
      </c>
      <c r="M96" s="11">
        <f t="shared" si="30"/>
        <v>8.9179264628737709E-2</v>
      </c>
      <c r="N96" s="11">
        <f t="shared" si="31"/>
        <v>8.9831074341011563E-2</v>
      </c>
      <c r="O96" s="11">
        <f t="shared" si="32"/>
        <v>5.1229508196721785E-3</v>
      </c>
      <c r="P96" s="11">
        <f>IF(D96="","",D96/MAX($D$2:D96)-1)</f>
        <v>0</v>
      </c>
      <c r="Q96" s="11">
        <f>IF(E96="","",E96/MAX($E$2:E96)-1)</f>
        <v>0</v>
      </c>
      <c r="R96" s="11">
        <f>IF(H96="","",H96/MAX($H$2:H96)-1)</f>
        <v>0</v>
      </c>
      <c r="S96" s="12">
        <f t="shared" si="37"/>
        <v>223777.88324632178</v>
      </c>
      <c r="T96" s="12">
        <f t="shared" si="33"/>
        <v>266186.51294696279</v>
      </c>
      <c r="U96" s="12">
        <f t="shared" si="34"/>
        <v>291132.08712581516</v>
      </c>
      <c r="V96" s="12">
        <f t="shared" si="38"/>
        <v>151694.4876236534</v>
      </c>
      <c r="W96" s="12">
        <f t="shared" si="35"/>
        <v>180442.43742072405</v>
      </c>
      <c r="X96" s="12">
        <f t="shared" si="36"/>
        <v>197352.53612504291</v>
      </c>
    </row>
    <row r="97" spans="1:24" ht="15" x14ac:dyDescent="0.3">
      <c r="A97" s="10">
        <v>45261</v>
      </c>
      <c r="B97" s="5">
        <v>83.254000000000005</v>
      </c>
      <c r="C97" s="6">
        <v>2062.59</v>
      </c>
      <c r="D97" s="6">
        <v>171587</v>
      </c>
      <c r="E97" s="7">
        <v>21731.4</v>
      </c>
      <c r="F97" s="7">
        <v>4769.83</v>
      </c>
      <c r="G97" s="8">
        <v>97.8</v>
      </c>
      <c r="H97" s="19">
        <f t="shared" si="25"/>
        <v>397107.42681999999</v>
      </c>
      <c r="I97" s="11">
        <f t="shared" si="26"/>
        <v>-1.4411644608847141E-4</v>
      </c>
      <c r="J97" s="11">
        <f t="shared" si="27"/>
        <v>1.3184330099472064E-2</v>
      </c>
      <c r="K97" s="11">
        <f t="shared" si="28"/>
        <v>1.0881347943914266E-2</v>
      </c>
      <c r="L97" s="11">
        <f t="shared" si="29"/>
        <v>7.9384001013254268E-2</v>
      </c>
      <c r="M97" s="11">
        <f t="shared" si="30"/>
        <v>4.4229169403213753E-2</v>
      </c>
      <c r="N97" s="11">
        <f t="shared" si="31"/>
        <v>4.407867880641736E-2</v>
      </c>
      <c r="O97" s="11">
        <f t="shared" si="32"/>
        <v>-3.0581039755351869E-3</v>
      </c>
      <c r="P97" s="11">
        <f>IF(D97="","",D97/MAX($D$2:D97)-1)</f>
        <v>0</v>
      </c>
      <c r="Q97" s="11">
        <f>IF(E97="","",E97/MAX($E$2:E97)-1)</f>
        <v>0</v>
      </c>
      <c r="R97" s="11">
        <f>IF(H97="","",H97/MAX($H$2:H97)-1)</f>
        <v>0</v>
      </c>
      <c r="S97" s="12">
        <f t="shared" si="37"/>
        <v>226212.88825607763</v>
      </c>
      <c r="T97" s="12">
        <f t="shared" si="33"/>
        <v>287317.46336045902</v>
      </c>
      <c r="U97" s="12">
        <f t="shared" si="34"/>
        <v>303964.80488447583</v>
      </c>
      <c r="V97" s="12">
        <f t="shared" si="38"/>
        <v>153815.51195326343</v>
      </c>
      <c r="W97" s="12">
        <f t="shared" si="35"/>
        <v>195364.12385961681</v>
      </c>
      <c r="X97" s="12">
        <f t="shared" si="36"/>
        <v>206683.63522308427</v>
      </c>
    </row>
    <row r="98" spans="1:24" ht="15" x14ac:dyDescent="0.3">
      <c r="A98" s="10">
        <v>45292</v>
      </c>
      <c r="B98" s="5">
        <v>83.111900000000006</v>
      </c>
      <c r="C98" s="6">
        <v>2037.19</v>
      </c>
      <c r="D98" s="6">
        <v>169443</v>
      </c>
      <c r="E98" s="7">
        <v>21725.7</v>
      </c>
      <c r="F98" s="7">
        <v>4845.6499999999996</v>
      </c>
      <c r="G98" s="8">
        <v>97.7</v>
      </c>
      <c r="H98" s="19">
        <f t="shared" si="25"/>
        <v>402731.178235</v>
      </c>
      <c r="I98" s="11">
        <f t="shared" si="26"/>
        <v>-1.7068248973022282E-3</v>
      </c>
      <c r="J98" s="11">
        <f t="shared" si="27"/>
        <v>-1.2314614150170433E-2</v>
      </c>
      <c r="K98" s="11">
        <f t="shared" si="28"/>
        <v>-1.2495119094103835E-2</v>
      </c>
      <c r="L98" s="11">
        <f t="shared" si="29"/>
        <v>-2.6229327148741266E-4</v>
      </c>
      <c r="M98" s="11">
        <f t="shared" si="30"/>
        <v>1.5895744712075555E-2</v>
      </c>
      <c r="N98" s="11">
        <f t="shared" si="31"/>
        <v>1.4161788561937838E-2</v>
      </c>
      <c r="O98" s="11">
        <f t="shared" si="32"/>
        <v>-1.0224948875254825E-3</v>
      </c>
      <c r="P98" s="11">
        <f>IF(D98="","",D98/MAX($D$2:D98)-1)</f>
        <v>-1.2495119094103835E-2</v>
      </c>
      <c r="Q98" s="11">
        <f>IF(E98="","",E98/MAX($E$2:E98)-1)</f>
        <v>-2.6229327148741266E-4</v>
      </c>
      <c r="R98" s="11">
        <f>IF(H98="","",H98/MAX($H$2:H98)-1)</f>
        <v>0</v>
      </c>
      <c r="S98" s="12">
        <f t="shared" si="37"/>
        <v>223386.33127669673</v>
      </c>
      <c r="T98" s="12">
        <f t="shared" si="33"/>
        <v>287242.10192303878</v>
      </c>
      <c r="U98" s="12">
        <f t="shared" si="34"/>
        <v>308269.49018152046</v>
      </c>
      <c r="V98" s="12">
        <f t="shared" si="38"/>
        <v>152049.03817707609</v>
      </c>
      <c r="W98" s="12">
        <f t="shared" si="35"/>
        <v>195512.79199469884</v>
      </c>
      <c r="X98" s="12">
        <f t="shared" si="36"/>
        <v>209825.19034873194</v>
      </c>
    </row>
    <row r="99" spans="1:24" ht="15" x14ac:dyDescent="0.3">
      <c r="A99" s="10">
        <v>45323</v>
      </c>
      <c r="B99" s="5">
        <v>82.948499999999996</v>
      </c>
      <c r="C99" s="6">
        <v>2043.24</v>
      </c>
      <c r="D99" s="6">
        <v>169428</v>
      </c>
      <c r="E99" s="7">
        <v>21982.799999999999</v>
      </c>
      <c r="F99" s="7">
        <v>5096.2700000000004</v>
      </c>
      <c r="G99" s="8">
        <v>97.9</v>
      </c>
      <c r="H99" s="19">
        <f t="shared" si="25"/>
        <v>422727.95209500002</v>
      </c>
      <c r="I99" s="11">
        <f t="shared" ref="I99:I130" si="39">IF(OR(B99="",B98=""),"",B99/B98-1)</f>
        <v>-1.9660241192899219E-3</v>
      </c>
      <c r="J99" s="11">
        <f t="shared" ref="J99:J130" si="40">IF(OR(C99="",C98=""),"",C99/C98-1)</f>
        <v>2.969776996745388E-3</v>
      </c>
      <c r="K99" s="11">
        <f t="shared" ref="K99:K130" si="41">IF(OR(D99="",D98=""),"",D99/D98-1)</f>
        <v>-8.8525344806189565E-5</v>
      </c>
      <c r="L99" s="11">
        <f t="shared" ref="L99:L130" si="42">IF(OR(E99="",E98=""),"",E99/E98-1)</f>
        <v>1.1833910990209695E-2</v>
      </c>
      <c r="M99" s="11">
        <f t="shared" ref="M99:M130" si="43">IF(OR(F99="",F98=""),"",F99/F98-1)</f>
        <v>5.1720615397315317E-2</v>
      </c>
      <c r="N99" s="11">
        <f t="shared" ref="N99:N130" si="44">IF(OR(H99="",H98=""),"",H99/H98-1)</f>
        <v>4.9652907300689719E-2</v>
      </c>
      <c r="O99" s="11">
        <f t="shared" ref="O99:O130" si="45">IF(OR(G99="",G98=""),"",G99/G98-1)</f>
        <v>2.0470829068577334E-3</v>
      </c>
      <c r="P99" s="11">
        <f>IF(D99="","",D99/MAX($D$2:D99)-1)</f>
        <v>-1.2582538304183877E-2</v>
      </c>
      <c r="Q99" s="11">
        <f>IF(E99="","",E99/MAX($E$2:E99)-1)</f>
        <v>0</v>
      </c>
      <c r="R99" s="11">
        <f>IF(H99="","",H99/MAX($H$2:H99)-1)</f>
        <v>0</v>
      </c>
      <c r="S99" s="12">
        <f t="shared" si="37"/>
        <v>223366.55592469545</v>
      </c>
      <c r="T99" s="12">
        <f t="shared" ref="T99:T130" si="46">IF(E99="","",100000*E99/$E$2)</f>
        <v>290641.29938983679</v>
      </c>
      <c r="U99" s="12">
        <f>IF(H99="","",100000*H99/$H$2)</f>
        <v>323575.96660113439</v>
      </c>
      <c r="V99" s="12">
        <f t="shared" si="38"/>
        <v>151724.98436151427</v>
      </c>
      <c r="W99" s="12">
        <f t="shared" ref="W99:W130" si="47">IF(OR(T99="",G99="",$G$2=""),"",T99*$G$2/G99)</f>
        <v>197422.3330891128</v>
      </c>
      <c r="X99" s="12">
        <f t="shared" ref="X99:X130" si="48">IF(OR(U99="",G99="",$G$2=""),"",U99*$G$2/G99)</f>
        <v>219793.68517850293</v>
      </c>
    </row>
    <row r="100" spans="1:24" ht="15" x14ac:dyDescent="0.3">
      <c r="A100" s="10">
        <v>45352</v>
      </c>
      <c r="B100" s="5">
        <v>83.0214</v>
      </c>
      <c r="C100" s="6">
        <v>2232.38</v>
      </c>
      <c r="D100" s="6">
        <v>186069</v>
      </c>
      <c r="E100" s="7">
        <v>22326.9</v>
      </c>
      <c r="F100" s="7">
        <v>5254.35</v>
      </c>
      <c r="G100" s="8">
        <v>97.9</v>
      </c>
      <c r="H100" s="19">
        <f t="shared" si="25"/>
        <v>436223.49309</v>
      </c>
      <c r="I100" s="11">
        <f t="shared" si="39"/>
        <v>8.7885856887104374E-4</v>
      </c>
      <c r="J100" s="11">
        <f t="shared" si="40"/>
        <v>9.2568665452908094E-2</v>
      </c>
      <c r="K100" s="11">
        <f t="shared" si="41"/>
        <v>9.8218712373397521E-2</v>
      </c>
      <c r="L100" s="11">
        <f t="shared" si="42"/>
        <v>1.5653147005840973E-2</v>
      </c>
      <c r="M100" s="11">
        <f t="shared" si="43"/>
        <v>3.1018764704381807E-2</v>
      </c>
      <c r="N100" s="11">
        <f t="shared" si="44"/>
        <v>3.1924884380409191E-2</v>
      </c>
      <c r="O100" s="11">
        <f t="shared" si="45"/>
        <v>0</v>
      </c>
      <c r="P100" s="11">
        <f>IF(D100="","",D100/MAX($D$2:D100)-1)</f>
        <v>0</v>
      </c>
      <c r="Q100" s="11">
        <f>IF(E100="","",E100/MAX($E$2:E100)-1)</f>
        <v>0</v>
      </c>
      <c r="R100" s="11">
        <f>IF(H100="","",H100/MAX($H$2:H100)-1)</f>
        <v>0</v>
      </c>
      <c r="S100" s="12">
        <f t="shared" si="37"/>
        <v>245305.33143489953</v>
      </c>
      <c r="T100" s="12">
        <f t="shared" si="46"/>
        <v>295190.75037515454</v>
      </c>
      <c r="U100" s="12">
        <f t="shared" ref="U100:U130" si="49">IF(H100="","",100000*H100/$H$2)</f>
        <v>333906.09192315472</v>
      </c>
      <c r="V100" s="12">
        <f t="shared" si="38"/>
        <v>166627.21696037607</v>
      </c>
      <c r="W100" s="12">
        <f t="shared" si="47"/>
        <v>200512.6138911928</v>
      </c>
      <c r="X100" s="12">
        <f t="shared" si="48"/>
        <v>226810.57316537068</v>
      </c>
    </row>
    <row r="101" spans="1:24" ht="15" x14ac:dyDescent="0.3">
      <c r="A101" s="10">
        <v>45383</v>
      </c>
      <c r="B101" s="5">
        <v>83.396799999999999</v>
      </c>
      <c r="C101" s="6">
        <v>2285.5700000000002</v>
      </c>
      <c r="D101" s="6">
        <v>190744</v>
      </c>
      <c r="E101" s="7">
        <v>22604.85</v>
      </c>
      <c r="F101" s="7">
        <v>5035.6899999999996</v>
      </c>
      <c r="G101" s="8">
        <v>98.3</v>
      </c>
      <c r="H101" s="19">
        <f t="shared" si="25"/>
        <v>419960.43179199996</v>
      </c>
      <c r="I101" s="11">
        <f t="shared" si="39"/>
        <v>4.5217257237291086E-3</v>
      </c>
      <c r="J101" s="11">
        <f t="shared" si="40"/>
        <v>2.3826588663220516E-2</v>
      </c>
      <c r="K101" s="11">
        <f t="shared" si="41"/>
        <v>2.5125088004987362E-2</v>
      </c>
      <c r="L101" s="11">
        <f t="shared" si="42"/>
        <v>1.2449108474530624E-2</v>
      </c>
      <c r="M101" s="11">
        <f t="shared" si="43"/>
        <v>-4.1615042774082567E-2</v>
      </c>
      <c r="N101" s="11">
        <f t="shared" si="44"/>
        <v>-3.7281488859759127E-2</v>
      </c>
      <c r="O101" s="11">
        <f t="shared" si="45"/>
        <v>4.0858018386107364E-3</v>
      </c>
      <c r="P101" s="11">
        <f>IF(D101="","",D101/MAX($D$2:D101)-1)</f>
        <v>0</v>
      </c>
      <c r="Q101" s="11">
        <f>IF(E101="","",E101/MAX($E$2:E101)-1)</f>
        <v>0</v>
      </c>
      <c r="R101" s="11">
        <f>IF(H101="","",H101/MAX($H$2:H101)-1)</f>
        <v>-3.7281488859759127E-2</v>
      </c>
      <c r="S101" s="12">
        <f t="shared" si="37"/>
        <v>251468.64947529399</v>
      </c>
      <c r="T101" s="12">
        <f t="shared" si="46"/>
        <v>298865.61204725294</v>
      </c>
      <c r="U101" s="12">
        <f t="shared" si="49"/>
        <v>321457.57567691593</v>
      </c>
      <c r="V101" s="12">
        <f t="shared" si="38"/>
        <v>170118.6692788103</v>
      </c>
      <c r="W101" s="12">
        <f t="shared" si="47"/>
        <v>202182.73856706329</v>
      </c>
      <c r="X101" s="12">
        <f t="shared" si="48"/>
        <v>217466.21345386482</v>
      </c>
    </row>
    <row r="102" spans="1:24" ht="15" x14ac:dyDescent="0.3">
      <c r="A102" s="10">
        <v>45413</v>
      </c>
      <c r="B102" s="5">
        <v>83.387299999999996</v>
      </c>
      <c r="C102" s="6">
        <v>2326.9699999999998</v>
      </c>
      <c r="D102" s="6">
        <v>194119</v>
      </c>
      <c r="E102" s="7">
        <v>22530.7</v>
      </c>
      <c r="F102" s="7">
        <v>5277.51</v>
      </c>
      <c r="G102" s="8">
        <v>98.9</v>
      </c>
      <c r="H102" s="19">
        <f t="shared" si="25"/>
        <v>440077.30962299998</v>
      </c>
      <c r="I102" s="11">
        <f t="shared" si="39"/>
        <v>-1.1391324367360234E-4</v>
      </c>
      <c r="J102" s="11">
        <f t="shared" si="40"/>
        <v>1.8113643423740999E-2</v>
      </c>
      <c r="K102" s="11">
        <f t="shared" si="41"/>
        <v>1.7693872415383893E-2</v>
      </c>
      <c r="L102" s="11">
        <f t="shared" si="42"/>
        <v>-3.2802694996869608E-3</v>
      </c>
      <c r="M102" s="11">
        <f t="shared" si="43"/>
        <v>4.8021224499522619E-2</v>
      </c>
      <c r="N102" s="11">
        <f t="shared" si="44"/>
        <v>4.7901841002401024E-2</v>
      </c>
      <c r="O102" s="11">
        <f t="shared" si="45"/>
        <v>6.1037639877925542E-3</v>
      </c>
      <c r="P102" s="11">
        <f>IF(D102="","",D102/MAX($D$2:D102)-1)</f>
        <v>0</v>
      </c>
      <c r="Q102" s="11">
        <f>IF(E102="","",E102/MAX($E$2:E102)-1)</f>
        <v>-3.2802694996869608E-3</v>
      </c>
      <c r="R102" s="11">
        <f>IF(H102="","",H102/MAX($H$2:H102)-1)</f>
        <v>0</v>
      </c>
      <c r="S102" s="12">
        <f t="shared" si="37"/>
        <v>255918.10367557875</v>
      </c>
      <c r="T102" s="12">
        <f t="shared" si="46"/>
        <v>297885.25229554903</v>
      </c>
      <c r="U102" s="12">
        <f t="shared" si="49"/>
        <v>336855.98535600875</v>
      </c>
      <c r="V102" s="12">
        <f t="shared" si="38"/>
        <v>172078.40135921119</v>
      </c>
      <c r="W102" s="12">
        <f t="shared" si="47"/>
        <v>200296.95932916086</v>
      </c>
      <c r="X102" s="12">
        <f t="shared" si="48"/>
        <v>226500.73838396947</v>
      </c>
    </row>
    <row r="103" spans="1:24" ht="15" x14ac:dyDescent="0.3">
      <c r="A103" s="10">
        <v>45444</v>
      </c>
      <c r="B103" s="5">
        <v>83.46</v>
      </c>
      <c r="C103" s="6">
        <v>2325.71</v>
      </c>
      <c r="D103" s="6">
        <v>193935</v>
      </c>
      <c r="E103" s="7">
        <v>24010.6</v>
      </c>
      <c r="F103" s="7">
        <v>5460.48</v>
      </c>
      <c r="G103" s="8">
        <v>100.2</v>
      </c>
      <c r="H103" s="19">
        <f t="shared" si="25"/>
        <v>455731.66079999995</v>
      </c>
      <c r="I103" s="11">
        <f t="shared" si="39"/>
        <v>8.718353993952821E-4</v>
      </c>
      <c r="J103" s="11">
        <f t="shared" si="40"/>
        <v>-5.4147668427173556E-4</v>
      </c>
      <c r="K103" s="11">
        <f t="shared" si="41"/>
        <v>-9.4787218149694485E-4</v>
      </c>
      <c r="L103" s="11">
        <f t="shared" si="42"/>
        <v>6.5683711558007341E-2</v>
      </c>
      <c r="M103" s="11">
        <f t="shared" si="43"/>
        <v>3.4669759034089864E-2</v>
      </c>
      <c r="N103" s="11">
        <f t="shared" si="44"/>
        <v>3.5571820756699735E-2</v>
      </c>
      <c r="O103" s="11">
        <f t="shared" si="45"/>
        <v>1.3144590495449915E-2</v>
      </c>
      <c r="P103" s="11">
        <f>IF(D103="","",D103/MAX($D$2:D103)-1)</f>
        <v>-9.4787218149694485E-4</v>
      </c>
      <c r="Q103" s="11">
        <f>IF(E103="","",E103/MAX($E$2:E103)-1)</f>
        <v>0</v>
      </c>
      <c r="R103" s="11">
        <f>IF(H103="","",H103/MAX($H$2:H103)-1)</f>
        <v>0</v>
      </c>
      <c r="S103" s="12">
        <f t="shared" si="37"/>
        <v>255675.52602436324</v>
      </c>
      <c r="T103" s="12">
        <f t="shared" si="46"/>
        <v>317451.46128471417</v>
      </c>
      <c r="U103" s="12">
        <f t="shared" si="49"/>
        <v>348838.56608791417</v>
      </c>
      <c r="V103" s="12">
        <f t="shared" si="38"/>
        <v>169684.85509600956</v>
      </c>
      <c r="W103" s="12">
        <f t="shared" si="47"/>
        <v>210683.8540462424</v>
      </c>
      <c r="X103" s="12">
        <f t="shared" si="48"/>
        <v>231514.61721403484</v>
      </c>
    </row>
    <row r="104" spans="1:24" ht="15" x14ac:dyDescent="0.3">
      <c r="A104" s="10">
        <v>45474</v>
      </c>
      <c r="B104" s="5">
        <v>83.589500000000001</v>
      </c>
      <c r="C104" s="6">
        <v>2448.1</v>
      </c>
      <c r="D104" s="6">
        <v>204775</v>
      </c>
      <c r="E104" s="7">
        <v>24951.15</v>
      </c>
      <c r="F104" s="7">
        <v>5522.3</v>
      </c>
      <c r="G104" s="8">
        <v>101.7</v>
      </c>
      <c r="H104" s="19">
        <f t="shared" si="25"/>
        <v>461606.29584999999</v>
      </c>
      <c r="I104" s="11">
        <f t="shared" si="39"/>
        <v>1.5516415049126042E-3</v>
      </c>
      <c r="J104" s="11">
        <f t="shared" si="40"/>
        <v>5.2624789849121223E-2</v>
      </c>
      <c r="K104" s="11">
        <f t="shared" si="41"/>
        <v>5.5895016371464656E-2</v>
      </c>
      <c r="L104" s="11">
        <f t="shared" si="42"/>
        <v>3.917228224200997E-2</v>
      </c>
      <c r="M104" s="11">
        <f t="shared" si="43"/>
        <v>1.1321349038912354E-2</v>
      </c>
      <c r="N104" s="11">
        <f t="shared" si="44"/>
        <v>1.2890557218885323E-2</v>
      </c>
      <c r="O104" s="11">
        <f t="shared" si="45"/>
        <v>1.4970059880239583E-2</v>
      </c>
      <c r="P104" s="11">
        <f>IF(D104="","",D104/MAX($D$2:D104)-1)</f>
        <v>0</v>
      </c>
      <c r="Q104" s="11">
        <f>IF(E104="","",E104/MAX($E$2:E104)-1)</f>
        <v>0</v>
      </c>
      <c r="R104" s="11">
        <f>IF(H104="","",H104/MAX($H$2:H104)-1)</f>
        <v>0</v>
      </c>
      <c r="S104" s="12">
        <f t="shared" si="37"/>
        <v>269966.51373727788</v>
      </c>
      <c r="T104" s="12">
        <f t="shared" si="46"/>
        <v>329886.75952429743</v>
      </c>
      <c r="U104" s="12">
        <f t="shared" si="49"/>
        <v>353335.28958422435</v>
      </c>
      <c r="V104" s="12">
        <f t="shared" si="38"/>
        <v>176526.77643587982</v>
      </c>
      <c r="W104" s="12">
        <f t="shared" si="47"/>
        <v>215707.66478235772</v>
      </c>
      <c r="X104" s="12">
        <f t="shared" si="48"/>
        <v>231040.28276647904</v>
      </c>
    </row>
    <row r="105" spans="1:24" ht="15" x14ac:dyDescent="0.3">
      <c r="A105" s="10">
        <v>45505</v>
      </c>
      <c r="B105" s="5">
        <v>83.885499999999993</v>
      </c>
      <c r="C105" s="6">
        <v>2503.0300000000002</v>
      </c>
      <c r="D105" s="6">
        <v>209922</v>
      </c>
      <c r="E105" s="7">
        <v>25235.9</v>
      </c>
      <c r="F105" s="7">
        <v>5648.4</v>
      </c>
      <c r="G105" s="8">
        <v>101.7</v>
      </c>
      <c r="H105" s="19">
        <f t="shared" si="25"/>
        <v>473818.85819999996</v>
      </c>
      <c r="I105" s="11">
        <f t="shared" si="39"/>
        <v>3.5411146136774541E-3</v>
      </c>
      <c r="J105" s="11">
        <f t="shared" si="40"/>
        <v>2.2437808913034818E-2</v>
      </c>
      <c r="K105" s="11">
        <f t="shared" si="41"/>
        <v>2.5134904163105931E-2</v>
      </c>
      <c r="L105" s="11">
        <f t="shared" si="42"/>
        <v>1.141229963348378E-2</v>
      </c>
      <c r="M105" s="11">
        <f t="shared" si="43"/>
        <v>2.2834688445031892E-2</v>
      </c>
      <c r="N105" s="11">
        <f t="shared" si="44"/>
        <v>2.6456663307660833E-2</v>
      </c>
      <c r="O105" s="11">
        <f t="shared" si="45"/>
        <v>0</v>
      </c>
      <c r="P105" s="11">
        <f>IF(D105="","",D105/MAX($D$2:D105)-1)</f>
        <v>0</v>
      </c>
      <c r="Q105" s="11">
        <f>IF(E105="","",E105/MAX($E$2:E105)-1)</f>
        <v>0</v>
      </c>
      <c r="R105" s="11">
        <f>IF(H105="","",H105/MAX($H$2:H105)-1)</f>
        <v>0</v>
      </c>
      <c r="S105" s="12">
        <f t="shared" si="37"/>
        <v>276752.09618731216</v>
      </c>
      <c r="T105" s="12">
        <f t="shared" si="46"/>
        <v>333651.52606910776</v>
      </c>
      <c r="U105" s="12">
        <f t="shared" si="49"/>
        <v>362683.36237546901</v>
      </c>
      <c r="V105" s="12">
        <f t="shared" si="38"/>
        <v>180963.76004381766</v>
      </c>
      <c r="W105" s="12">
        <f t="shared" si="47"/>
        <v>218169.38528609308</v>
      </c>
      <c r="X105" s="12">
        <f t="shared" si="48"/>
        <v>237152.83773813854</v>
      </c>
    </row>
    <row r="106" spans="1:24" ht="15" x14ac:dyDescent="0.3">
      <c r="A106" s="10">
        <v>45536</v>
      </c>
      <c r="B106" s="5">
        <v>83.790999999999997</v>
      </c>
      <c r="C106" s="6">
        <v>2634.49</v>
      </c>
      <c r="D106" s="6">
        <v>220641</v>
      </c>
      <c r="E106" s="7">
        <v>25810.85</v>
      </c>
      <c r="F106" s="7">
        <v>5762.48</v>
      </c>
      <c r="G106" s="8">
        <v>102.3</v>
      </c>
      <c r="H106" s="19">
        <f t="shared" si="25"/>
        <v>482843.96167999995</v>
      </c>
      <c r="I106" s="11">
        <f t="shared" si="39"/>
        <v>-1.126535575278198E-3</v>
      </c>
      <c r="J106" s="11">
        <f t="shared" si="40"/>
        <v>5.2520345341446006E-2</v>
      </c>
      <c r="K106" s="11">
        <f t="shared" si="41"/>
        <v>5.1061822962814807E-2</v>
      </c>
      <c r="L106" s="11">
        <f t="shared" si="42"/>
        <v>2.2783019428670892E-2</v>
      </c>
      <c r="M106" s="11">
        <f t="shared" si="43"/>
        <v>2.0196869910062976E-2</v>
      </c>
      <c r="N106" s="11">
        <f t="shared" si="44"/>
        <v>1.9047581842321915E-2</v>
      </c>
      <c r="O106" s="11">
        <f t="shared" si="45"/>
        <v>5.8997050147491237E-3</v>
      </c>
      <c r="P106" s="11">
        <f>IF(D106="","",D106/MAX($D$2:D106)-1)</f>
        <v>0</v>
      </c>
      <c r="Q106" s="11">
        <f>IF(E106="","",E106/MAX($E$2:E106)-1)</f>
        <v>0</v>
      </c>
      <c r="R106" s="11">
        <f>IF(H106="","",H106/MAX($H$2:H106)-1)</f>
        <v>0</v>
      </c>
      <c r="S106" s="12">
        <f t="shared" si="37"/>
        <v>290883.56272741657</v>
      </c>
      <c r="T106" s="12">
        <f t="shared" si="46"/>
        <v>341253.11526994599</v>
      </c>
      <c r="U106" s="12">
        <f t="shared" si="49"/>
        <v>369591.60340316425</v>
      </c>
      <c r="V106" s="12">
        <f t="shared" si="38"/>
        <v>189088.5329557498</v>
      </c>
      <c r="W106" s="12">
        <f t="shared" si="47"/>
        <v>221831.20396335688</v>
      </c>
      <c r="X106" s="12">
        <f t="shared" si="48"/>
        <v>240252.60631779494</v>
      </c>
    </row>
    <row r="107" spans="1:24" ht="15" x14ac:dyDescent="0.3">
      <c r="A107" s="10">
        <v>45566</v>
      </c>
      <c r="B107" s="5">
        <v>84.004999999999995</v>
      </c>
      <c r="C107" s="6">
        <v>2743.8</v>
      </c>
      <c r="D107" s="6">
        <v>230649</v>
      </c>
      <c r="E107" s="7">
        <v>24205.35</v>
      </c>
      <c r="F107" s="7">
        <v>5705.45</v>
      </c>
      <c r="G107" s="8">
        <v>103.7</v>
      </c>
      <c r="H107" s="19">
        <f t="shared" si="25"/>
        <v>479286.32724999997</v>
      </c>
      <c r="I107" s="11">
        <f t="shared" si="39"/>
        <v>2.55397357711451E-3</v>
      </c>
      <c r="J107" s="11">
        <f t="shared" si="40"/>
        <v>4.1491901658385677E-2</v>
      </c>
      <c r="K107" s="11">
        <f t="shared" si="41"/>
        <v>4.5358750186955232E-2</v>
      </c>
      <c r="L107" s="11">
        <f t="shared" si="42"/>
        <v>-6.2202523357425266E-2</v>
      </c>
      <c r="M107" s="11">
        <f t="shared" si="43"/>
        <v>-9.8967805528175079E-3</v>
      </c>
      <c r="N107" s="11">
        <f t="shared" si="44"/>
        <v>-7.3680830917334239E-3</v>
      </c>
      <c r="O107" s="11">
        <f t="shared" si="45"/>
        <v>1.3685239491691092E-2</v>
      </c>
      <c r="P107" s="11">
        <f>IF(D107="","",D107/MAX($D$2:D107)-1)</f>
        <v>0</v>
      </c>
      <c r="Q107" s="11">
        <f>IF(E107="","",E107/MAX($E$2:E107)-1)</f>
        <v>-6.2202523357425266E-2</v>
      </c>
      <c r="R107" s="11">
        <f>IF(H107="","",H107/MAX($H$2:H107)-1)</f>
        <v>-7.3680830917334239E-3</v>
      </c>
      <c r="S107" s="12">
        <f t="shared" si="37"/>
        <v>304077.67758266098</v>
      </c>
      <c r="T107" s="12">
        <f t="shared" si="46"/>
        <v>320026.31039657304</v>
      </c>
      <c r="U107" s="12">
        <f t="shared" si="49"/>
        <v>366868.42175928282</v>
      </c>
      <c r="V107" s="12">
        <f t="shared" si="38"/>
        <v>194996.7749204142</v>
      </c>
      <c r="W107" s="12">
        <f t="shared" si="47"/>
        <v>205224.20097755166</v>
      </c>
      <c r="X107" s="12">
        <f t="shared" si="48"/>
        <v>235262.77769520067</v>
      </c>
    </row>
    <row r="108" spans="1:24" ht="15" x14ac:dyDescent="0.3">
      <c r="A108" s="10">
        <v>45597</v>
      </c>
      <c r="B108" s="5">
        <v>84.332599999999999</v>
      </c>
      <c r="C108" s="6">
        <v>2653.55</v>
      </c>
      <c r="D108" s="6">
        <v>224381</v>
      </c>
      <c r="E108" s="7">
        <v>24131.1</v>
      </c>
      <c r="F108" s="7">
        <v>6032.38</v>
      </c>
      <c r="G108" s="8">
        <v>103.5</v>
      </c>
      <c r="H108" s="19">
        <f t="shared" si="25"/>
        <v>508726.28958799999</v>
      </c>
      <c r="I108" s="11">
        <f t="shared" si="39"/>
        <v>3.8997678709600248E-3</v>
      </c>
      <c r="J108" s="11">
        <f t="shared" si="40"/>
        <v>-3.2892339091770584E-2</v>
      </c>
      <c r="K108" s="11">
        <f t="shared" si="41"/>
        <v>-2.7175491764542703E-2</v>
      </c>
      <c r="L108" s="11">
        <f t="shared" si="42"/>
        <v>-3.0675036717089377E-3</v>
      </c>
      <c r="M108" s="11">
        <f t="shared" si="43"/>
        <v>5.7301352215863854E-2</v>
      </c>
      <c r="N108" s="11">
        <f t="shared" si="44"/>
        <v>6.1424582059157906E-2</v>
      </c>
      <c r="O108" s="11">
        <f t="shared" si="45"/>
        <v>-1.9286403085825299E-3</v>
      </c>
      <c r="P108" s="11">
        <f>IF(D108="","",D108/MAX($D$2:D108)-1)</f>
        <v>-2.7175491764542703E-2</v>
      </c>
      <c r="Q108" s="11">
        <f>IF(E108="","",E108/MAX($E$2:E108)-1)</f>
        <v>-6.5079220560345763E-2</v>
      </c>
      <c r="R108" s="11">
        <f>IF(H108="","",H108/MAX($H$2:H108)-1)</f>
        <v>0</v>
      </c>
      <c r="S108" s="12">
        <f t="shared" si="37"/>
        <v>295814.21715973213</v>
      </c>
      <c r="T108" s="12">
        <f t="shared" si="46"/>
        <v>319044.62851438805</v>
      </c>
      <c r="U108" s="12">
        <f t="shared" si="49"/>
        <v>389403.16123654955</v>
      </c>
      <c r="V108" s="12">
        <f t="shared" si="38"/>
        <v>190064.20716060084</v>
      </c>
      <c r="W108" s="12">
        <f t="shared" si="47"/>
        <v>204990.02701649087</v>
      </c>
      <c r="X108" s="12">
        <f t="shared" si="48"/>
        <v>250196.23403121301</v>
      </c>
    </row>
    <row r="109" spans="1:24" ht="15" x14ac:dyDescent="0.3">
      <c r="A109" s="10">
        <v>45627</v>
      </c>
      <c r="B109" s="5">
        <v>84.968599999999995</v>
      </c>
      <c r="C109" s="6">
        <v>2623.81</v>
      </c>
      <c r="D109" s="6">
        <v>224478</v>
      </c>
      <c r="E109" s="7">
        <v>23644.799999999999</v>
      </c>
      <c r="F109" s="7">
        <v>5881.63</v>
      </c>
      <c r="G109" s="8">
        <v>102.9</v>
      </c>
      <c r="H109" s="19">
        <f t="shared" si="25"/>
        <v>499753.86681799998</v>
      </c>
      <c r="I109" s="11">
        <f t="shared" si="39"/>
        <v>7.5415675551329109E-3</v>
      </c>
      <c r="J109" s="11">
        <f t="shared" si="40"/>
        <v>-1.1207627517853536E-2</v>
      </c>
      <c r="K109" s="11">
        <f t="shared" si="41"/>
        <v>4.3230041759323434E-4</v>
      </c>
      <c r="L109" s="11">
        <f t="shared" si="42"/>
        <v>-2.0152417419844082E-2</v>
      </c>
      <c r="M109" s="11">
        <f t="shared" si="43"/>
        <v>-2.4990136563014964E-2</v>
      </c>
      <c r="N109" s="11">
        <f t="shared" si="44"/>
        <v>-1.7637033810984026E-2</v>
      </c>
      <c r="O109" s="11">
        <f t="shared" si="45"/>
        <v>-5.7971014492752548E-3</v>
      </c>
      <c r="P109" s="11">
        <f>IF(D109="","",D109/MAX($D$2:D109)-1)</f>
        <v>-2.6754939323387461E-2</v>
      </c>
      <c r="Q109" s="11">
        <f>IF(E109="","",E109/MAX($E$2:E109)-1)</f>
        <v>-8.3920134362099663E-2</v>
      </c>
      <c r="R109" s="11">
        <f>IF(H109="","",H109/MAX($H$2:H109)-1)</f>
        <v>-1.7637033810984026E-2</v>
      </c>
      <c r="S109" s="12">
        <f t="shared" si="37"/>
        <v>295942.09776934027</v>
      </c>
      <c r="T109" s="12">
        <f t="shared" si="46"/>
        <v>312615.10798500705</v>
      </c>
      <c r="U109" s="12">
        <f t="shared" si="49"/>
        <v>382535.24451571645</v>
      </c>
      <c r="V109" s="12">
        <f t="shared" si="38"/>
        <v>191255.09719787296</v>
      </c>
      <c r="W109" s="12">
        <f t="shared" si="47"/>
        <v>202030.17182704539</v>
      </c>
      <c r="X109" s="12">
        <f t="shared" si="48"/>
        <v>247216.65461900042</v>
      </c>
    </row>
    <row r="110" spans="1:24" ht="15" x14ac:dyDescent="0.3">
      <c r="A110" s="10">
        <v>45658</v>
      </c>
      <c r="B110" s="5">
        <v>86.265199999999993</v>
      </c>
      <c r="C110" s="6">
        <v>2801.18</v>
      </c>
      <c r="D110" s="6">
        <v>242473</v>
      </c>
      <c r="E110" s="7">
        <v>23508.400000000001</v>
      </c>
      <c r="F110" s="7">
        <v>6040.53</v>
      </c>
      <c r="G110" s="8">
        <v>101.67</v>
      </c>
      <c r="H110" s="19">
        <f t="shared" si="25"/>
        <v>521087.52855599992</v>
      </c>
      <c r="I110" s="11">
        <f t="shared" si="39"/>
        <v>1.5259754780001078E-2</v>
      </c>
      <c r="J110" s="11">
        <f t="shared" si="40"/>
        <v>6.7600169219570017E-2</v>
      </c>
      <c r="K110" s="11">
        <f t="shared" si="41"/>
        <v>8.0163757695631555E-2</v>
      </c>
      <c r="L110" s="11">
        <f t="shared" si="42"/>
        <v>-5.7687102449586192E-3</v>
      </c>
      <c r="M110" s="11">
        <f t="shared" si="43"/>
        <v>2.7016320305765618E-2</v>
      </c>
      <c r="N110" s="11">
        <f t="shared" si="44"/>
        <v>4.2688337508690388E-2</v>
      </c>
      <c r="O110" s="11">
        <f t="shared" si="45"/>
        <v>-1.1953352769679348E-2</v>
      </c>
      <c r="P110" s="11">
        <f>IF(D110="","",D110/MAX($D$2:D110)-1)</f>
        <v>0</v>
      </c>
      <c r="Q110" s="11">
        <f>IF(E110="","",E110/MAX($E$2:E110)-1)</f>
        <v>-8.920473366820536E-2</v>
      </c>
      <c r="R110" s="11">
        <f>IF(H110="","",H110/MAX($H$2:H110)-1)</f>
        <v>0</v>
      </c>
      <c r="S110" s="12">
        <f t="shared" si="37"/>
        <v>319665.92838685861</v>
      </c>
      <c r="T110" s="12">
        <f t="shared" si="46"/>
        <v>310811.72200884507</v>
      </c>
      <c r="U110" s="12">
        <f t="shared" si="49"/>
        <v>398865.03814257286</v>
      </c>
      <c r="V110" s="12">
        <f t="shared" si="38"/>
        <v>209086.10443322608</v>
      </c>
      <c r="W110" s="12">
        <f t="shared" si="47"/>
        <v>203294.77243619747</v>
      </c>
      <c r="X110" s="12">
        <f t="shared" si="48"/>
        <v>260888.41385345819</v>
      </c>
    </row>
    <row r="111" spans="1:24" ht="15" x14ac:dyDescent="0.3">
      <c r="A111" s="10">
        <v>45689</v>
      </c>
      <c r="B111" s="5">
        <v>87.063699999999997</v>
      </c>
      <c r="C111" s="6">
        <v>2858.77</v>
      </c>
      <c r="D111" s="6">
        <v>250046</v>
      </c>
      <c r="E111" s="7">
        <v>22124.7</v>
      </c>
      <c r="F111" s="7">
        <v>5954.5</v>
      </c>
      <c r="G111" s="8">
        <v>101.32</v>
      </c>
      <c r="H111" s="19">
        <f t="shared" si="25"/>
        <v>518420.80164999998</v>
      </c>
      <c r="I111" s="11">
        <f t="shared" si="39"/>
        <v>9.2563397522986701E-3</v>
      </c>
      <c r="J111" s="11">
        <f t="shared" si="40"/>
        <v>2.0559192911558721E-2</v>
      </c>
      <c r="K111" s="11">
        <f t="shared" si="41"/>
        <v>3.1232343394934636E-2</v>
      </c>
      <c r="L111" s="11">
        <f t="shared" si="42"/>
        <v>-5.8859811811948104E-2</v>
      </c>
      <c r="M111" s="11">
        <f t="shared" si="43"/>
        <v>-1.4242127760312417E-2</v>
      </c>
      <c r="N111" s="11">
        <f t="shared" si="44"/>
        <v>-5.1176179813586797E-3</v>
      </c>
      <c r="O111" s="11">
        <f t="shared" si="45"/>
        <v>-3.4425100816367626E-3</v>
      </c>
      <c r="P111" s="11">
        <f>IF(D111="","",D111/MAX($D$2:D111)-1)</f>
        <v>0</v>
      </c>
      <c r="Q111" s="11">
        <f>IF(E111="","",E111/MAX($E$2:E111)-1)</f>
        <v>-0.1428139716437079</v>
      </c>
      <c r="R111" s="11">
        <f>IF(H111="","",H111/MAX($H$2:H111)-1)</f>
        <v>-5.1176179813586797E-3</v>
      </c>
      <c r="S111" s="12">
        <f t="shared" si="37"/>
        <v>329649.84443389758</v>
      </c>
      <c r="T111" s="12">
        <f t="shared" si="46"/>
        <v>292517.40254245693</v>
      </c>
      <c r="U111" s="12">
        <f t="shared" si="49"/>
        <v>396823.79925123911</v>
      </c>
      <c r="V111" s="12">
        <f t="shared" si="38"/>
        <v>216361.17898592766</v>
      </c>
      <c r="W111" s="12">
        <f t="shared" si="47"/>
        <v>191989.80723522886</v>
      </c>
      <c r="X111" s="12">
        <f t="shared" si="48"/>
        <v>260449.88798072841</v>
      </c>
    </row>
    <row r="112" spans="1:24" ht="15" x14ac:dyDescent="0.3">
      <c r="A112" s="10">
        <v>45717</v>
      </c>
      <c r="B112" s="5">
        <v>86.5214</v>
      </c>
      <c r="C112" s="6">
        <v>3123.35</v>
      </c>
      <c r="D112" s="6">
        <v>266956</v>
      </c>
      <c r="E112" s="7">
        <v>23519.35</v>
      </c>
      <c r="F112" s="7">
        <v>5611.85</v>
      </c>
      <c r="G112" s="8">
        <v>101.39</v>
      </c>
      <c r="H112" s="19">
        <f t="shared" si="25"/>
        <v>485545.11859000003</v>
      </c>
      <c r="I112" s="11">
        <f t="shared" si="39"/>
        <v>-6.2287727261762793E-3</v>
      </c>
      <c r="J112" s="11">
        <f t="shared" si="40"/>
        <v>9.2550292608359452E-2</v>
      </c>
      <c r="K112" s="11">
        <f t="shared" si="41"/>
        <v>6.7627556529598509E-2</v>
      </c>
      <c r="L112" s="11">
        <f t="shared" si="42"/>
        <v>6.3035882972424462E-2</v>
      </c>
      <c r="M112" s="11">
        <f t="shared" si="43"/>
        <v>-5.7544714081786852E-2</v>
      </c>
      <c r="N112" s="11">
        <f t="shared" si="44"/>
        <v>-6.3415053862354909E-2</v>
      </c>
      <c r="O112" s="11">
        <f t="shared" si="45"/>
        <v>6.9088037899733834E-4</v>
      </c>
      <c r="P112" s="11">
        <f>IF(D112="","",D112/MAX($D$2:D112)-1)</f>
        <v>0</v>
      </c>
      <c r="Q112" s="11">
        <f>IF(E112="","",E112/MAX($E$2:E112)-1)</f>
        <v>-8.8780493474643452E-2</v>
      </c>
      <c r="R112" s="11">
        <f>IF(H112="","",H112/MAX($H$2:H112)-1)</f>
        <v>-6.8208137823778769E-2</v>
      </c>
      <c r="S112" s="12">
        <f t="shared" si="37"/>
        <v>351943.25792332436</v>
      </c>
      <c r="T112" s="12">
        <f t="shared" si="46"/>
        <v>310956.49529652082</v>
      </c>
      <c r="U112" s="12">
        <f t="shared" si="49"/>
        <v>371659.19664785743</v>
      </c>
      <c r="V112" s="12">
        <f t="shared" si="38"/>
        <v>230833.67838939806</v>
      </c>
      <c r="W112" s="12">
        <f t="shared" si="47"/>
        <v>203951.14840929714</v>
      </c>
      <c r="X112" s="12">
        <f t="shared" si="48"/>
        <v>243765.03182841028</v>
      </c>
    </row>
    <row r="113" spans="1:24" ht="15" x14ac:dyDescent="0.3">
      <c r="A113" s="10">
        <v>45748</v>
      </c>
      <c r="B113" s="5">
        <v>85.576800000000006</v>
      </c>
      <c r="C113" s="6">
        <v>3288.59</v>
      </c>
      <c r="D113" s="6">
        <v>278203</v>
      </c>
      <c r="E113" s="7">
        <v>24334.2</v>
      </c>
      <c r="F113" s="7">
        <v>5569.06</v>
      </c>
      <c r="G113" s="8">
        <v>101.58</v>
      </c>
      <c r="H113" s="19">
        <f t="shared" si="25"/>
        <v>476582.33380800008</v>
      </c>
      <c r="I113" s="11">
        <f t="shared" si="39"/>
        <v>-1.091753022951536E-2</v>
      </c>
      <c r="J113" s="11">
        <f t="shared" si="40"/>
        <v>5.2904733699393303E-2</v>
      </c>
      <c r="K113" s="11">
        <f t="shared" si="41"/>
        <v>4.2130538365872994E-2</v>
      </c>
      <c r="L113" s="11">
        <f t="shared" si="42"/>
        <v>3.4645940470293679E-2</v>
      </c>
      <c r="M113" s="11">
        <f t="shared" si="43"/>
        <v>-7.6249365182604611E-3</v>
      </c>
      <c r="N113" s="11">
        <f t="shared" si="44"/>
        <v>-1.845922127283961E-2</v>
      </c>
      <c r="O113" s="11">
        <f t="shared" si="45"/>
        <v>1.8739520662787168E-3</v>
      </c>
      <c r="P113" s="11">
        <f>IF(D113="","",D113/MAX($D$2:D113)-1)</f>
        <v>0</v>
      </c>
      <c r="Q113" s="11">
        <f>IF(E113="","",E113/MAX($E$2:E113)-1)</f>
        <v>-5.7210436696195521E-2</v>
      </c>
      <c r="R113" s="11">
        <f>IF(H113="","",H113/MAX($H$2:H113)-1)</f>
        <v>-8.5408289987920827E-2</v>
      </c>
      <c r="S113" s="12">
        <f t="shared" si="37"/>
        <v>366770.81685387332</v>
      </c>
      <c r="T113" s="12">
        <f t="shared" si="46"/>
        <v>321729.8755214152</v>
      </c>
      <c r="U113" s="12">
        <f t="shared" si="49"/>
        <v>364798.65729884891</v>
      </c>
      <c r="V113" s="12">
        <f t="shared" si="38"/>
        <v>240108.87301420138</v>
      </c>
      <c r="W113" s="12">
        <f t="shared" si="47"/>
        <v>210622.53122833345</v>
      </c>
      <c r="X113" s="12">
        <f t="shared" si="48"/>
        <v>238817.78608361344</v>
      </c>
    </row>
    <row r="114" spans="1:24" ht="15" x14ac:dyDescent="0.3">
      <c r="A114" s="10">
        <v>45778</v>
      </c>
      <c r="B114" s="5">
        <v>85.246200000000002</v>
      </c>
      <c r="C114" s="6">
        <v>3289.4</v>
      </c>
      <c r="D114" s="6">
        <v>281325</v>
      </c>
      <c r="E114" s="7">
        <v>24750.7</v>
      </c>
      <c r="F114" s="7">
        <v>5911.69</v>
      </c>
      <c r="G114" s="8">
        <v>101.9</v>
      </c>
      <c r="H114" s="19">
        <f t="shared" si="25"/>
        <v>503949.10807799996</v>
      </c>
      <c r="I114" s="11">
        <f t="shared" si="39"/>
        <v>-3.8631965672939472E-3</v>
      </c>
      <c r="J114" s="11">
        <f t="shared" si="40"/>
        <v>2.4630616768894775E-4</v>
      </c>
      <c r="K114" s="11">
        <f t="shared" si="41"/>
        <v>1.1222021329748477E-2</v>
      </c>
      <c r="L114" s="11">
        <f t="shared" si="42"/>
        <v>1.7115828751304685E-2</v>
      </c>
      <c r="M114" s="11">
        <f t="shared" si="43"/>
        <v>6.1523847830692979E-2</v>
      </c>
      <c r="N114" s="11">
        <f t="shared" si="44"/>
        <v>5.7422972545652762E-2</v>
      </c>
      <c r="O114" s="11">
        <f t="shared" si="45"/>
        <v>3.1502264225242715E-3</v>
      </c>
      <c r="P114" s="11">
        <f>IF(D114="","",D114/MAX($D$2:D114)-1)</f>
        <v>0</v>
      </c>
      <c r="Q114" s="11">
        <f>IF(E114="","",E114/MAX($E$2:E114)-1)</f>
        <v>-4.1073811982170194E-2</v>
      </c>
      <c r="R114" s="11">
        <f>IF(H114="","",H114/MAX($H$2:H114)-1)</f>
        <v>-3.288971533341567E-2</v>
      </c>
      <c r="S114" s="12">
        <f t="shared" si="37"/>
        <v>370886.72678373673</v>
      </c>
      <c r="T114" s="12">
        <f t="shared" si="46"/>
        <v>327236.54897501832</v>
      </c>
      <c r="U114" s="12">
        <f t="shared" si="49"/>
        <v>385746.48058161163</v>
      </c>
      <c r="V114" s="12">
        <f t="shared" si="38"/>
        <v>242040.89628183012</v>
      </c>
      <c r="W114" s="12">
        <f t="shared" si="47"/>
        <v>213554.76454208751</v>
      </c>
      <c r="X114" s="12">
        <f t="shared" si="48"/>
        <v>251738.38035993298</v>
      </c>
    </row>
    <row r="115" spans="1:24" ht="15" x14ac:dyDescent="0.3">
      <c r="A115" s="10">
        <v>45809</v>
      </c>
      <c r="B115" s="5">
        <v>85.876499999999993</v>
      </c>
      <c r="C115" s="6">
        <v>3303.69</v>
      </c>
      <c r="D115" s="6">
        <v>283062</v>
      </c>
      <c r="E115" s="7">
        <v>25517.05</v>
      </c>
      <c r="F115" s="7">
        <v>6204.95</v>
      </c>
      <c r="G115" s="8">
        <v>102.51</v>
      </c>
      <c r="H115" s="19">
        <f t="shared" si="25"/>
        <v>532859.38867499994</v>
      </c>
      <c r="I115" s="11">
        <f t="shared" si="39"/>
        <v>7.3938779675808419E-3</v>
      </c>
      <c r="J115" s="11">
        <f t="shared" si="40"/>
        <v>4.3442573113636751E-3</v>
      </c>
      <c r="K115" s="11">
        <f t="shared" si="41"/>
        <v>6.1743535057317001E-3</v>
      </c>
      <c r="L115" s="11">
        <f t="shared" si="42"/>
        <v>3.0962760649193788E-2</v>
      </c>
      <c r="M115" s="11">
        <f t="shared" si="43"/>
        <v>4.960679602617879E-2</v>
      </c>
      <c r="N115" s="11">
        <f t="shared" si="44"/>
        <v>5.7367460589939689E-2</v>
      </c>
      <c r="O115" s="11">
        <f t="shared" si="45"/>
        <v>5.9862610402354743E-3</v>
      </c>
      <c r="P115" s="11">
        <f>IF(D115="","",D115/MAX($D$2:D115)-1)</f>
        <v>0</v>
      </c>
      <c r="Q115" s="11">
        <f>IF(E115="","",E115/MAX($E$2:E115)-1)</f>
        <v>-1.138280994233043E-2</v>
      </c>
      <c r="R115" s="11">
        <f>IF(H115="","",H115/MAX($H$2:H115)-1)</f>
        <v>0</v>
      </c>
      <c r="S115" s="12">
        <f t="shared" si="37"/>
        <v>373176.71254548331</v>
      </c>
      <c r="T115" s="12">
        <f t="shared" si="46"/>
        <v>337368.6959166</v>
      </c>
      <c r="U115" s="12">
        <f t="shared" si="49"/>
        <v>407875.77660408523</v>
      </c>
      <c r="V115" s="12">
        <f t="shared" si="38"/>
        <v>242086.15144156315</v>
      </c>
      <c r="W115" s="12">
        <f t="shared" si="47"/>
        <v>218856.87521660229</v>
      </c>
      <c r="X115" s="12">
        <f t="shared" si="48"/>
        <v>264596.03106205899</v>
      </c>
    </row>
    <row r="116" spans="1:24" ht="15" x14ac:dyDescent="0.3">
      <c r="A116" s="10">
        <v>45839</v>
      </c>
      <c r="B116" s="5">
        <v>86.171400000000006</v>
      </c>
      <c r="C116" s="6">
        <v>3290.32</v>
      </c>
      <c r="D116" s="6">
        <v>288034</v>
      </c>
      <c r="E116" s="7">
        <v>24768.35</v>
      </c>
      <c r="F116" s="7">
        <v>6339.39</v>
      </c>
      <c r="G116" s="8">
        <v>103.35</v>
      </c>
      <c r="H116" s="19">
        <f t="shared" si="25"/>
        <v>546274.11144600005</v>
      </c>
      <c r="I116" s="11">
        <f t="shared" si="39"/>
        <v>3.4340011528184444E-3</v>
      </c>
      <c r="J116" s="11">
        <f t="shared" si="40"/>
        <v>-4.0469898810118199E-3</v>
      </c>
      <c r="K116" s="11">
        <f t="shared" si="41"/>
        <v>1.756505641873507E-2</v>
      </c>
      <c r="L116" s="11">
        <f t="shared" si="42"/>
        <v>-2.9341166004691055E-2</v>
      </c>
      <c r="M116" s="11">
        <f t="shared" si="43"/>
        <v>2.1666572655702376E-2</v>
      </c>
      <c r="N116" s="11">
        <f t="shared" si="44"/>
        <v>2.5174976843998165E-2</v>
      </c>
      <c r="O116" s="11">
        <f t="shared" si="45"/>
        <v>8.1943225051213098E-3</v>
      </c>
      <c r="P116" s="11">
        <f>IF(D116="","",D116/MAX($D$2:D116)-1)</f>
        <v>0</v>
      </c>
      <c r="Q116" s="11">
        <f>IF(E116="","",E116/MAX($E$2:E116)-1)</f>
        <v>-4.0389991030903682E-2</v>
      </c>
      <c r="R116" s="11">
        <f>IF(H116="","",H116/MAX($H$2:H116)-1)</f>
        <v>0</v>
      </c>
      <c r="S116" s="12">
        <f t="shared" si="37"/>
        <v>379731.58255550283</v>
      </c>
      <c r="T116" s="12">
        <f t="shared" si="46"/>
        <v>327469.90500492492</v>
      </c>
      <c r="U116" s="12">
        <f t="shared" si="49"/>
        <v>418144.03983532079</v>
      </c>
      <c r="V116" s="12">
        <f t="shared" si="38"/>
        <v>244336.2384125877</v>
      </c>
      <c r="W116" s="12">
        <f t="shared" si="47"/>
        <v>210708.74390737791</v>
      </c>
      <c r="X116" s="12">
        <f t="shared" si="48"/>
        <v>269052.52684130461</v>
      </c>
    </row>
    <row r="117" spans="1:24" ht="15" x14ac:dyDescent="0.3">
      <c r="A117" s="10">
        <v>45870</v>
      </c>
      <c r="B117" s="5">
        <v>87.569500000000005</v>
      </c>
      <c r="C117" s="6">
        <v>3448</v>
      </c>
      <c r="D117" s="6">
        <v>304032</v>
      </c>
      <c r="E117" s="7">
        <v>24426.85</v>
      </c>
      <c r="F117" s="7">
        <v>6460.26</v>
      </c>
      <c r="G117" s="8">
        <v>103.74</v>
      </c>
      <c r="H117" s="19">
        <f t="shared" si="25"/>
        <v>565721.73807000008</v>
      </c>
      <c r="I117" s="11">
        <f t="shared" si="39"/>
        <v>1.6224640658037304E-2</v>
      </c>
      <c r="J117" s="11">
        <f t="shared" si="40"/>
        <v>4.7922390527365133E-2</v>
      </c>
      <c r="K117" s="11">
        <f t="shared" si="41"/>
        <v>5.5542054063062007E-2</v>
      </c>
      <c r="L117" s="11">
        <f t="shared" si="42"/>
        <v>-1.3787757359694952E-2</v>
      </c>
      <c r="M117" s="11">
        <f t="shared" si="43"/>
        <v>1.9066503244002941E-2</v>
      </c>
      <c r="N117" s="11">
        <f t="shared" si="44"/>
        <v>3.5600491065779671E-2</v>
      </c>
      <c r="O117" s="11">
        <f t="shared" si="45"/>
        <v>3.7735849056603765E-3</v>
      </c>
      <c r="P117" s="11">
        <f>IF(D117="","",D117/MAX($D$2:D117)-1)</f>
        <v>0</v>
      </c>
      <c r="Q117" s="11">
        <f>IF(E117="","",E117/MAX($E$2:E117)-1)</f>
        <v>-5.3620860994504249E-2</v>
      </c>
      <c r="R117" s="11">
        <f>IF(H117="","",H117/MAX($H$2:H117)-1)</f>
        <v>0</v>
      </c>
      <c r="S117" s="12">
        <f t="shared" si="37"/>
        <v>400822.65464325267</v>
      </c>
      <c r="T117" s="12">
        <f t="shared" si="46"/>
        <v>322954.82941211469</v>
      </c>
      <c r="U117" s="12">
        <f t="shared" si="49"/>
        <v>433030.17298968713</v>
      </c>
      <c r="V117" s="12">
        <f t="shared" si="38"/>
        <v>256937.59913029018</v>
      </c>
      <c r="W117" s="12">
        <f t="shared" si="47"/>
        <v>207022.32654622738</v>
      </c>
      <c r="X117" s="12">
        <f t="shared" si="48"/>
        <v>277583.44422415842</v>
      </c>
    </row>
    <row r="118" spans="1:24" ht="15" x14ac:dyDescent="0.3">
      <c r="A118" s="10">
        <v>45901</v>
      </c>
      <c r="B118" s="5">
        <v>88.321399999999997</v>
      </c>
      <c r="C118" s="6">
        <v>3858.51</v>
      </c>
      <c r="D118" s="6">
        <v>342844</v>
      </c>
      <c r="E118" s="7">
        <v>24611.1</v>
      </c>
      <c r="F118" s="7">
        <v>6688.46</v>
      </c>
      <c r="G118" s="8">
        <v>103.74</v>
      </c>
      <c r="H118" s="19">
        <f t="shared" si="25"/>
        <v>590734.15104399994</v>
      </c>
      <c r="I118" s="11">
        <f t="shared" si="39"/>
        <v>8.5863228635540967E-3</v>
      </c>
      <c r="J118" s="11">
        <f t="shared" si="40"/>
        <v>0.11905742459396751</v>
      </c>
      <c r="K118" s="11">
        <f t="shared" si="41"/>
        <v>0.12765761498789607</v>
      </c>
      <c r="L118" s="11">
        <f t="shared" si="42"/>
        <v>7.5429291947182175E-3</v>
      </c>
      <c r="M118" s="11">
        <f t="shared" si="43"/>
        <v>3.5323655704259549E-2</v>
      </c>
      <c r="N118" s="11">
        <f t="shared" si="44"/>
        <v>4.4213278880411266E-2</v>
      </c>
      <c r="O118" s="11">
        <f t="shared" si="45"/>
        <v>0</v>
      </c>
      <c r="P118" s="11">
        <f>IF(D118="","",D118/MAX($D$2:D118)-1)</f>
        <v>0</v>
      </c>
      <c r="Q118" s="11">
        <f>IF(E118="","",E118/MAX($E$2:E118)-1)</f>
        <v>-4.6482390157627562E-2</v>
      </c>
      <c r="R118" s="11">
        <f>IF(H118="","",H118/MAX($H$2:H118)-1)</f>
        <v>0</v>
      </c>
      <c r="S118" s="12">
        <f t="shared" si="37"/>
        <v>451990.71876812738</v>
      </c>
      <c r="T118" s="12">
        <f t="shared" si="46"/>
        <v>325390.85482346255</v>
      </c>
      <c r="U118" s="12">
        <f t="shared" si="49"/>
        <v>452175.85679171287</v>
      </c>
      <c r="V118" s="12">
        <f t="shared" si="38"/>
        <v>289737.64023597911</v>
      </c>
      <c r="W118" s="12">
        <f t="shared" si="47"/>
        <v>208583.8812970914</v>
      </c>
      <c r="X118" s="12">
        <f t="shared" si="48"/>
        <v>289856.3184562262</v>
      </c>
    </row>
    <row r="119" spans="1:24" ht="15" x14ac:dyDescent="0.3">
      <c r="A119" s="10">
        <v>45931</v>
      </c>
      <c r="B119" s="5">
        <v>88.369100000000003</v>
      </c>
      <c r="C119" s="6">
        <v>4002.28</v>
      </c>
      <c r="D119" s="6">
        <v>355276</v>
      </c>
      <c r="E119" s="7">
        <v>25722.1</v>
      </c>
      <c r="F119" s="7">
        <v>6840.2</v>
      </c>
      <c r="G119" s="8">
        <v>103.74</v>
      </c>
      <c r="H119" s="19">
        <f t="shared" si="25"/>
        <v>604462.31782</v>
      </c>
      <c r="I119" s="11">
        <f t="shared" si="39"/>
        <v>5.4007296080005318E-4</v>
      </c>
      <c r="J119" s="11">
        <f t="shared" si="40"/>
        <v>3.7260496927570497E-2</v>
      </c>
      <c r="K119" s="11">
        <f t="shared" si="41"/>
        <v>3.6261390019950657E-2</v>
      </c>
      <c r="L119" s="11">
        <f t="shared" si="42"/>
        <v>4.5142232569856722E-2</v>
      </c>
      <c r="M119" s="11">
        <f t="shared" si="43"/>
        <v>2.2686836730727133E-2</v>
      </c>
      <c r="N119" s="11">
        <f t="shared" si="44"/>
        <v>2.3239162238611666E-2</v>
      </c>
      <c r="O119" s="11">
        <f t="shared" si="45"/>
        <v>0</v>
      </c>
      <c r="P119" s="11">
        <f>IF(D119="","",D119/MAX($D$2:D119)-1)</f>
        <v>0</v>
      </c>
      <c r="Q119" s="11">
        <f>IF(E119="","",E119/MAX($E$2:E119)-1)</f>
        <v>-3.4384764546692148E-3</v>
      </c>
      <c r="R119" s="11">
        <f>IF(H119="","",H119/MAX($H$2:H119)-1)</f>
        <v>0</v>
      </c>
      <c r="S119" s="12">
        <f t="shared" si="37"/>
        <v>468380.53050677635</v>
      </c>
      <c r="T119" s="12">
        <f t="shared" si="46"/>
        <v>340079.72446800774</v>
      </c>
      <c r="U119" s="12">
        <f t="shared" si="49"/>
        <v>462684.04488807876</v>
      </c>
      <c r="V119" s="12">
        <f t="shared" si="38"/>
        <v>300243.92981203616</v>
      </c>
      <c r="W119" s="12">
        <f t="shared" si="47"/>
        <v>217999.82337692805</v>
      </c>
      <c r="X119" s="12">
        <f t="shared" si="48"/>
        <v>296592.33646671718</v>
      </c>
    </row>
    <row r="120" spans="1:24" ht="15" x14ac:dyDescent="0.3">
      <c r="A120" s="10">
        <v>45962</v>
      </c>
      <c r="B120" s="5">
        <v>88.844399999999993</v>
      </c>
      <c r="C120" s="6">
        <v>4230.63</v>
      </c>
      <c r="D120" s="6">
        <v>378036</v>
      </c>
      <c r="E120" s="7">
        <v>26202.95</v>
      </c>
      <c r="F120" s="7">
        <v>6849.09</v>
      </c>
      <c r="G120" s="8">
        <v>104.01</v>
      </c>
      <c r="H120" s="19">
        <f t="shared" si="25"/>
        <v>608503.29159599997</v>
      </c>
      <c r="I120" s="11">
        <f t="shared" si="39"/>
        <v>5.3785769007490547E-3</v>
      </c>
      <c r="J120" s="11">
        <f t="shared" si="40"/>
        <v>5.7054978662162581E-2</v>
      </c>
      <c r="K120" s="11">
        <f t="shared" si="41"/>
        <v>6.4062869431090297E-2</v>
      </c>
      <c r="L120" s="11">
        <f t="shared" si="42"/>
        <v>1.8694041310779452E-2</v>
      </c>
      <c r="M120" s="11">
        <f t="shared" si="43"/>
        <v>1.299669600304032E-3</v>
      </c>
      <c r="N120" s="11">
        <f t="shared" si="44"/>
        <v>6.6852368739440671E-3</v>
      </c>
      <c r="O120" s="11">
        <f t="shared" si="45"/>
        <v>2.6026604973974354E-3</v>
      </c>
      <c r="P120" s="11">
        <f>IF(D120="","",D120/MAX($D$2:D120)-1)</f>
        <v>0</v>
      </c>
      <c r="Q120" s="11">
        <f>IF(E120="","",E120/MAX($E$2:E120)-1)</f>
        <v>0</v>
      </c>
      <c r="R120" s="11">
        <f>IF(H120="","",H120/MAX($H$2:H120)-1)</f>
        <v>0</v>
      </c>
      <c r="S120" s="12">
        <f t="shared" si="37"/>
        <v>498386.3312766967</v>
      </c>
      <c r="T120" s="12">
        <f t="shared" si="46"/>
        <v>346437.18888617115</v>
      </c>
      <c r="U120" s="12">
        <f t="shared" si="49"/>
        <v>465777.19732595014</v>
      </c>
      <c r="V120" s="12">
        <f t="shared" si="38"/>
        <v>318649.08210653136</v>
      </c>
      <c r="W120" s="12">
        <f t="shared" si="47"/>
        <v>221498.63533247169</v>
      </c>
      <c r="X120" s="12">
        <f t="shared" si="48"/>
        <v>297800.05405418406</v>
      </c>
    </row>
    <row r="121" spans="1:24" ht="15" x14ac:dyDescent="0.3">
      <c r="A121" s="10">
        <v>45992</v>
      </c>
      <c r="B121" s="5">
        <v>90.034999999999997</v>
      </c>
      <c r="C121" s="6">
        <v>4315.09</v>
      </c>
      <c r="D121" s="6">
        <v>387802</v>
      </c>
      <c r="E121" s="7">
        <v>26129.599999999999</v>
      </c>
      <c r="F121" s="7">
        <v>6845.5</v>
      </c>
      <c r="G121" s="8">
        <v>104.1</v>
      </c>
      <c r="H121" s="19">
        <f t="shared" si="25"/>
        <v>616334.59250000003</v>
      </c>
      <c r="I121" s="11">
        <f t="shared" si="39"/>
        <v>1.3400957179068085E-2</v>
      </c>
      <c r="J121" s="11">
        <f t="shared" si="40"/>
        <v>1.9963929722050855E-2</v>
      </c>
      <c r="K121" s="11">
        <f t="shared" si="41"/>
        <v>2.5833518500883557E-2</v>
      </c>
      <c r="L121" s="11">
        <f t="shared" si="42"/>
        <v>-2.7993031318993555E-3</v>
      </c>
      <c r="M121" s="11">
        <f t="shared" si="43"/>
        <v>-5.2415722380638741E-4</v>
      </c>
      <c r="N121" s="11">
        <f t="shared" si="44"/>
        <v>1.2869775746750634E-2</v>
      </c>
      <c r="O121" s="11">
        <f t="shared" si="45"/>
        <v>8.6530141332552546E-4</v>
      </c>
      <c r="P121" s="11">
        <f>IF(D121="","",D121/MAX($D$2:D121)-1)</f>
        <v>0</v>
      </c>
      <c r="Q121" s="11">
        <f>IF(E121="","",E121/MAX($E$2:E121)-1)</f>
        <v>-2.7993031318993555E-3</v>
      </c>
      <c r="R121" s="11">
        <f>IF(H121="","",H121/MAX($H$2:H121)-1)</f>
        <v>0</v>
      </c>
      <c r="S121" s="12">
        <f t="shared" si="37"/>
        <v>511261.4037863207</v>
      </c>
      <c r="T121" s="12">
        <f t="shared" si="46"/>
        <v>345467.40617831575</v>
      </c>
      <c r="U121" s="12">
        <f t="shared" si="49"/>
        <v>471771.64540348505</v>
      </c>
      <c r="V121" s="12">
        <f t="shared" si="38"/>
        <v>326598.30309116549</v>
      </c>
      <c r="W121" s="12">
        <f t="shared" si="47"/>
        <v>220687.63218883766</v>
      </c>
      <c r="X121" s="12">
        <f t="shared" si="48"/>
        <v>301371.89643930603</v>
      </c>
    </row>
    <row r="122" spans="1:24" ht="15" x14ac:dyDescent="0.3">
      <c r="A122" s="10">
        <v>46023</v>
      </c>
      <c r="B122" s="5">
        <v>90.902500000000003</v>
      </c>
      <c r="C122" s="6">
        <v>4865.3500000000004</v>
      </c>
      <c r="D122" s="6">
        <v>446123</v>
      </c>
      <c r="E122" s="7">
        <v>25320.65</v>
      </c>
      <c r="F122" s="7">
        <v>6939.03</v>
      </c>
      <c r="G122" s="8">
        <v>104.45</v>
      </c>
      <c r="H122" s="19">
        <f t="shared" si="25"/>
        <v>630775.17457499995</v>
      </c>
      <c r="I122" s="11">
        <f t="shared" si="39"/>
        <v>9.6351418892652863E-3</v>
      </c>
      <c r="J122" s="11">
        <f t="shared" si="40"/>
        <v>0.12751993585301813</v>
      </c>
      <c r="K122" s="11">
        <f t="shared" si="41"/>
        <v>0.1503886003682291</v>
      </c>
      <c r="L122" s="11">
        <f t="shared" si="42"/>
        <v>-3.0959142122343852E-2</v>
      </c>
      <c r="M122" s="11">
        <f t="shared" si="43"/>
        <v>1.3662990285588927E-2</v>
      </c>
      <c r="N122" s="11">
        <f t="shared" si="44"/>
        <v>2.3429777024887466E-2</v>
      </c>
      <c r="O122" s="11">
        <f t="shared" si="45"/>
        <v>3.3621517771373899E-3</v>
      </c>
      <c r="P122" s="11">
        <f>IF(D122="","",D122/MAX($D$2:D122)-1)</f>
        <v>0</v>
      </c>
      <c r="Q122" s="11">
        <f>IF(E122="","",E122/MAX($E$2:E122)-1)</f>
        <v>-3.3671781230739217E-2</v>
      </c>
      <c r="R122" s="11">
        <f>IF(H122="","",H122/MAX($H$2:H122)-1)</f>
        <v>0</v>
      </c>
      <c r="S122" s="12">
        <f t="shared" si="37"/>
        <v>588149.29072404152</v>
      </c>
      <c r="T122" s="12">
        <f t="shared" si="46"/>
        <v>334772.0316518037</v>
      </c>
      <c r="U122" s="12">
        <f t="shared" si="49"/>
        <v>482825.14986195305</v>
      </c>
      <c r="V122" s="12">
        <f t="shared" si="38"/>
        <v>374455.98691382253</v>
      </c>
      <c r="W122" s="12">
        <f t="shared" si="47"/>
        <v>213138.72766725655</v>
      </c>
      <c r="X122" s="12">
        <f t="shared" si="48"/>
        <v>307399.44917012803</v>
      </c>
    </row>
    <row r="123" spans="1:24" ht="15" x14ac:dyDescent="0.3">
      <c r="A123" s="10">
        <v>46054</v>
      </c>
      <c r="B123" s="5">
        <v>90.745800000000003</v>
      </c>
      <c r="C123" s="6">
        <v>5277.9</v>
      </c>
      <c r="D123" s="6">
        <v>480690</v>
      </c>
      <c r="E123" s="7">
        <v>25178.65</v>
      </c>
      <c r="F123" s="7">
        <v>6878.88</v>
      </c>
      <c r="G123" s="8">
        <v>104.57</v>
      </c>
      <c r="H123" s="19">
        <f t="shared" si="25"/>
        <v>624229.468704</v>
      </c>
      <c r="I123" s="11">
        <f t="shared" si="39"/>
        <v>-1.7238249773108283E-3</v>
      </c>
      <c r="J123" s="11">
        <f t="shared" si="40"/>
        <v>8.4793488649326232E-2</v>
      </c>
      <c r="K123" s="11">
        <f t="shared" si="41"/>
        <v>7.748311564299537E-2</v>
      </c>
      <c r="L123" s="11">
        <f t="shared" si="42"/>
        <v>-5.6080708828565307E-3</v>
      </c>
      <c r="M123" s="11">
        <f t="shared" si="43"/>
        <v>-8.6683585457909551E-3</v>
      </c>
      <c r="N123" s="11">
        <f t="shared" si="44"/>
        <v>-1.037724079012825E-2</v>
      </c>
      <c r="O123" s="11">
        <f t="shared" si="45"/>
        <v>1.1488750598371844E-3</v>
      </c>
      <c r="P123" s="11">
        <f>IF(D123="","",D123/MAX($D$2:D123)-1)</f>
        <v>0</v>
      </c>
      <c r="Q123" s="11">
        <f>IF(E123="","",E123/MAX($E$2:E123)-1)</f>
        <v>-3.9091018377701681E-2</v>
      </c>
      <c r="R123" s="11">
        <f>IF(H123="","",H123/MAX($H$2:H123)-1)</f>
        <v>-1.037724079012825E-2</v>
      </c>
      <c r="S123" s="12">
        <f t="shared" si="37"/>
        <v>633720.93023255817</v>
      </c>
      <c r="T123" s="12">
        <f t="shared" si="46"/>
        <v>332894.60636870255</v>
      </c>
      <c r="U123" s="12">
        <f t="shared" si="49"/>
        <v>477814.7570223058</v>
      </c>
      <c r="V123" s="12">
        <f t="shared" si="38"/>
        <v>403006.99876126152</v>
      </c>
      <c r="W123" s="12">
        <f t="shared" si="47"/>
        <v>211700.2134791883</v>
      </c>
      <c r="X123" s="12">
        <f t="shared" si="48"/>
        <v>303860.39343964175</v>
      </c>
    </row>
    <row r="124" spans="1:24" ht="15" x14ac:dyDescent="0.3">
      <c r="A124" s="10">
        <v>46082</v>
      </c>
      <c r="B124" s="5">
        <v>92.818200000000004</v>
      </c>
      <c r="C124" s="6">
        <v>4672.01</v>
      </c>
      <c r="D124" s="6">
        <v>436499</v>
      </c>
      <c r="E124" s="7">
        <v>22331.4</v>
      </c>
      <c r="F124" s="7">
        <v>6528.52</v>
      </c>
      <c r="G124" s="8">
        <v>104.84</v>
      </c>
      <c r="H124" s="19">
        <f t="shared" si="25"/>
        <v>605965.47506400011</v>
      </c>
      <c r="I124" s="11">
        <f t="shared" si="39"/>
        <v>2.2837420574836509E-2</v>
      </c>
      <c r="J124" s="11">
        <f t="shared" si="40"/>
        <v>-0.11479755205668907</v>
      </c>
      <c r="K124" s="11">
        <f t="shared" si="41"/>
        <v>-9.1932430464540582E-2</v>
      </c>
      <c r="L124" s="11">
        <f t="shared" si="42"/>
        <v>-0.11308191662380629</v>
      </c>
      <c r="M124" s="11">
        <f t="shared" si="43"/>
        <v>-5.0932709976042601E-2</v>
      </c>
      <c r="N124" s="11">
        <f t="shared" si="44"/>
        <v>-2.9258461119945012E-2</v>
      </c>
      <c r="O124" s="11">
        <f t="shared" si="45"/>
        <v>2.5820024863729696E-3</v>
      </c>
      <c r="P124" s="11">
        <f>IF(D124="","",D124/MAX($D$2:D124)-1)</f>
        <v>-9.1932430464540582E-2</v>
      </c>
      <c r="Q124" s="11">
        <f>IF(E124="","",E124/MAX($E$2:E124)-1)</f>
        <v>-0.14775244772058105</v>
      </c>
      <c r="R124" s="11">
        <f>IF(H124="","",H124/MAX($H$2:H124)-1)</f>
        <v>-3.9332079813882981E-2</v>
      </c>
      <c r="S124" s="12">
        <f t="shared" si="37"/>
        <v>575461.42488002952</v>
      </c>
      <c r="T124" s="12">
        <f t="shared" si="46"/>
        <v>295250.2462468021</v>
      </c>
      <c r="U124" s="12">
        <f t="shared" si="49"/>
        <v>463834.63253143273</v>
      </c>
      <c r="V124" s="12">
        <f t="shared" si="38"/>
        <v>365015.11593401339</v>
      </c>
      <c r="W124" s="12">
        <f t="shared" si="47"/>
        <v>187277.19739996511</v>
      </c>
      <c r="X124" s="12">
        <f t="shared" si="48"/>
        <v>294210.25432411558</v>
      </c>
    </row>
    <row r="125" spans="1:24" ht="15" x14ac:dyDescent="0.3">
      <c r="A125" s="10">
        <v>46113</v>
      </c>
      <c r="B125" s="5">
        <v>93.480500000000006</v>
      </c>
      <c r="C125" s="6">
        <v>4622.59</v>
      </c>
      <c r="D125" s="6">
        <v>438751</v>
      </c>
      <c r="E125" s="7">
        <v>23997.55</v>
      </c>
      <c r="F125" s="7">
        <v>7209.01</v>
      </c>
      <c r="G125" s="8">
        <v>105.12</v>
      </c>
      <c r="H125" s="19">
        <f t="shared" si="25"/>
        <v>673901.85930500005</v>
      </c>
      <c r="I125" s="11">
        <f t="shared" si="39"/>
        <v>7.1354540381090015E-3</v>
      </c>
      <c r="J125" s="11">
        <f t="shared" si="40"/>
        <v>-1.0577888317876094E-2</v>
      </c>
      <c r="K125" s="11">
        <f t="shared" si="41"/>
        <v>5.1592328962952738E-3</v>
      </c>
      <c r="L125" s="11">
        <f t="shared" si="42"/>
        <v>7.4610190135862453E-2</v>
      </c>
      <c r="M125" s="11">
        <f t="shared" si="43"/>
        <v>0.10423342503354505</v>
      </c>
      <c r="N125" s="11">
        <f t="shared" si="44"/>
        <v>0.11211263188521547</v>
      </c>
      <c r="O125" s="11">
        <f t="shared" si="45"/>
        <v>2.6707363601679024E-3</v>
      </c>
      <c r="P125" s="11">
        <f>IF(D125="","",D125/MAX($D$2:D125)-1)</f>
        <v>-8.7247498387734268E-2</v>
      </c>
      <c r="Q125" s="11">
        <f>IF(E125="","",E125/MAX($E$2:E125)-1)</f>
        <v>-8.4166095802190255E-2</v>
      </c>
      <c r="R125" s="11">
        <f>IF(H125="","",H125/MAX($H$2:H125)-1)</f>
        <v>0</v>
      </c>
      <c r="S125" s="12">
        <f t="shared" si="37"/>
        <v>578430.36439381959</v>
      </c>
      <c r="T125" s="12">
        <f t="shared" si="46"/>
        <v>317278.92325693619</v>
      </c>
      <c r="U125" s="12">
        <f t="shared" si="49"/>
        <v>515836.35394404345</v>
      </c>
      <c r="V125" s="12">
        <f t="shared" si="38"/>
        <v>365921.03531382227</v>
      </c>
      <c r="W125" s="12">
        <f t="shared" si="47"/>
        <v>200713.93071333959</v>
      </c>
      <c r="X125" s="12">
        <f t="shared" si="48"/>
        <v>326323.41645052214</v>
      </c>
    </row>
    <row r="126" spans="1:24" ht="15" x14ac:dyDescent="0.3">
      <c r="A126" s="10">
        <v>46143</v>
      </c>
      <c r="B126" s="5">
        <v>95.533500000000004</v>
      </c>
      <c r="C126" s="6">
        <v>4539.2700000000004</v>
      </c>
      <c r="D126" s="6">
        <v>431263</v>
      </c>
      <c r="E126" s="7">
        <v>23547.75</v>
      </c>
      <c r="F126" s="7">
        <v>7580.06</v>
      </c>
      <c r="G126" s="8">
        <v>105.91</v>
      </c>
      <c r="H126" s="19">
        <f t="shared" si="25"/>
        <v>724149.66201000009</v>
      </c>
      <c r="I126" s="11">
        <f t="shared" si="39"/>
        <v>2.1961799519685909E-2</v>
      </c>
      <c r="J126" s="11">
        <f t="shared" si="40"/>
        <v>-1.8024527375345767E-2</v>
      </c>
      <c r="K126" s="11">
        <f t="shared" si="41"/>
        <v>-1.7066627768369758E-2</v>
      </c>
      <c r="L126" s="11">
        <f t="shared" si="42"/>
        <v>-1.8743580073799171E-2</v>
      </c>
      <c r="M126" s="11">
        <f t="shared" si="43"/>
        <v>5.147031284462078E-2</v>
      </c>
      <c r="N126" s="11">
        <f t="shared" si="44"/>
        <v>7.4562493056215873E-2</v>
      </c>
      <c r="O126" s="11">
        <f t="shared" si="45"/>
        <v>7.5152207001520921E-3</v>
      </c>
      <c r="P126" s="11">
        <f>IF(D126="","",D126/MAX($D$2:D126)-1)</f>
        <v>-0.1028251055773991</v>
      </c>
      <c r="Q126" s="11">
        <f>IF(E126="","",E126/MAX($E$2:E126)-1)</f>
        <v>-0.101332101919822</v>
      </c>
      <c r="R126" s="11">
        <f>IF(H126="","",H126/MAX($H$2:H126)-1)</f>
        <v>0</v>
      </c>
      <c r="S126" s="12">
        <f t="shared" si="37"/>
        <v>568558.50867478771</v>
      </c>
      <c r="T126" s="12">
        <f t="shared" si="46"/>
        <v>311331.98035314103</v>
      </c>
      <c r="U126" s="12">
        <f t="shared" si="49"/>
        <v>554298.39850313996</v>
      </c>
      <c r="V126" s="12">
        <f t="shared" si="38"/>
        <v>356993.11516262282</v>
      </c>
      <c r="W126" s="12">
        <f t="shared" si="47"/>
        <v>195482.73716819828</v>
      </c>
      <c r="X126" s="12">
        <f t="shared" si="48"/>
        <v>348039.31168406014</v>
      </c>
    </row>
    <row r="127" spans="1:24" ht="15" x14ac:dyDescent="0.3">
      <c r="A127" s="10">
        <v>46174</v>
      </c>
      <c r="B127" s="5">
        <v>94.96</v>
      </c>
      <c r="C127" s="6">
        <v>4008.48</v>
      </c>
      <c r="D127" s="6">
        <v>379383</v>
      </c>
      <c r="E127" s="7">
        <v>23865.75</v>
      </c>
      <c r="F127" s="7">
        <v>7499.36</v>
      </c>
      <c r="G127" s="8">
        <v>107</v>
      </c>
      <c r="H127" s="19">
        <f t="shared" si="25"/>
        <v>712139.22559999989</v>
      </c>
      <c r="I127" s="11">
        <f t="shared" si="39"/>
        <v>-6.0031297921672166E-3</v>
      </c>
      <c r="J127" s="11">
        <f t="shared" si="40"/>
        <v>-0.11693289890224645</v>
      </c>
      <c r="K127" s="11">
        <f t="shared" si="41"/>
        <v>-0.12029782290620805</v>
      </c>
      <c r="L127" s="11">
        <f t="shared" si="42"/>
        <v>1.3504474949835865E-2</v>
      </c>
      <c r="M127" s="11">
        <f t="shared" si="43"/>
        <v>-1.0646353722793878E-2</v>
      </c>
      <c r="N127" s="11">
        <f t="shared" si="44"/>
        <v>-1.6585572071749932E-2</v>
      </c>
      <c r="O127" s="11">
        <f t="shared" si="45"/>
        <v>1.029175715229913E-2</v>
      </c>
      <c r="P127" s="11">
        <f>IF(D127="","",D127/MAX($D$2:D127)-1)</f>
        <v>-0.21075329214254512</v>
      </c>
      <c r="Q127" s="11">
        <f>IF(E127="","",E127/MAX($E$2:E127)-1)</f>
        <v>-8.9196063801976533E-2</v>
      </c>
      <c r="R127" s="11">
        <f>IF(H127="","",H127/MAX($H$2:H127)-1)</f>
        <v>-1.6585572071749932E-2</v>
      </c>
      <c r="S127" s="12">
        <f t="shared" si="37"/>
        <v>500162.15788641036</v>
      </c>
      <c r="T127" s="12">
        <f t="shared" si="46"/>
        <v>315536.35528290283</v>
      </c>
      <c r="U127" s="12">
        <f t="shared" si="49"/>
        <v>545105.04246551043</v>
      </c>
      <c r="V127" s="12">
        <f t="shared" si="38"/>
        <v>310848.44392005878</v>
      </c>
      <c r="W127" s="12">
        <f t="shared" si="47"/>
        <v>196104.37033937417</v>
      </c>
      <c r="X127" s="12">
        <f t="shared" si="48"/>
        <v>338780.23667249014</v>
      </c>
    </row>
    <row r="128" spans="1:24" ht="15" x14ac:dyDescent="0.3">
      <c r="A128" s="10">
        <v>46204</v>
      </c>
      <c r="B128" s="5">
        <v>95.857299999999995</v>
      </c>
      <c r="C128" s="6">
        <v>4042.67</v>
      </c>
      <c r="D128" s="6">
        <v>385566</v>
      </c>
      <c r="E128" s="7">
        <v>24383.599999999999</v>
      </c>
      <c r="F128" s="7">
        <v>7489.72</v>
      </c>
      <c r="G128" s="8">
        <v>107.95</v>
      </c>
      <c r="H128" s="19">
        <f t="shared" si="25"/>
        <v>717944.33695599996</v>
      </c>
      <c r="I128" s="11">
        <f t="shared" si="39"/>
        <v>9.44924178601525E-3</v>
      </c>
      <c r="J128" s="11">
        <f t="shared" si="40"/>
        <v>8.5294176346146777E-3</v>
      </c>
      <c r="K128" s="11">
        <f t="shared" si="41"/>
        <v>1.6297514648784928E-2</v>
      </c>
      <c r="L128" s="11">
        <f t="shared" si="42"/>
        <v>2.1698459088861588E-2</v>
      </c>
      <c r="M128" s="11">
        <f t="shared" si="43"/>
        <v>-1.2854430244713111E-3</v>
      </c>
      <c r="N128" s="11">
        <f t="shared" si="44"/>
        <v>8.1516522996034624E-3</v>
      </c>
      <c r="O128" s="11">
        <f t="shared" si="45"/>
        <v>8.8785046728971917E-3</v>
      </c>
      <c r="P128" s="11">
        <f>IF(D128="","",D128/MAX($D$2:D128)-1)</f>
        <v>-0.19789053235973286</v>
      </c>
      <c r="Q128" s="11">
        <f>IF(E128="","",E128/MAX($E$2:E128)-1)</f>
        <v>-6.9433021854409582E-2</v>
      </c>
      <c r="R128" s="11">
        <f>IF(H128="","",H128/MAX($H$2:H128)-1)</f>
        <v>-8.5691195888654148E-3</v>
      </c>
      <c r="S128" s="12">
        <f t="shared" si="37"/>
        <v>508313.55798133207</v>
      </c>
      <c r="T128" s="12">
        <f t="shared" si="46"/>
        <v>322383.00797905744</v>
      </c>
      <c r="U128" s="12">
        <f t="shared" si="49"/>
        <v>549548.54923844989</v>
      </c>
      <c r="V128" s="12">
        <f t="shared" si="38"/>
        <v>313134.3363201351</v>
      </c>
      <c r="W128" s="12">
        <f t="shared" si="47"/>
        <v>198596.29486435684</v>
      </c>
      <c r="X128" s="12">
        <f t="shared" si="48"/>
        <v>338536.16048501077</v>
      </c>
    </row>
    <row r="129" spans="1:24" ht="15" x14ac:dyDescent="0.3">
      <c r="A129" s="10">
        <v>46235</v>
      </c>
      <c r="B129" s="5">
        <v>95.444299999999998</v>
      </c>
      <c r="C129" s="6">
        <v>4448.92</v>
      </c>
      <c r="D129" s="6">
        <v>423300</v>
      </c>
      <c r="E129" s="7">
        <v>24080.400000000001</v>
      </c>
      <c r="F129" s="7">
        <v>7686.14</v>
      </c>
      <c r="G129" s="8">
        <v>108.74</v>
      </c>
      <c r="H129" s="19">
        <f t="shared" si="25"/>
        <v>733598.25200199999</v>
      </c>
      <c r="I129" s="11">
        <f t="shared" si="39"/>
        <v>-4.3084877208099392E-3</v>
      </c>
      <c r="J129" s="11">
        <f t="shared" si="40"/>
        <v>0.10049051740557591</v>
      </c>
      <c r="K129" s="11">
        <f t="shared" si="41"/>
        <v>9.7866513126157351E-2</v>
      </c>
      <c r="L129" s="11">
        <f t="shared" si="42"/>
        <v>-1.2434587181548107E-2</v>
      </c>
      <c r="M129" s="11">
        <f t="shared" si="43"/>
        <v>2.6225279449699102E-2</v>
      </c>
      <c r="N129" s="11">
        <f t="shared" si="44"/>
        <v>2.1803800434405218E-2</v>
      </c>
      <c r="O129" s="11">
        <f t="shared" si="45"/>
        <v>7.3182028716998193E-3</v>
      </c>
      <c r="P129" s="11">
        <f>IF(D129="","",D129/MAX($D$2:D129)-1)</f>
        <v>-0.11939087561630157</v>
      </c>
      <c r="Q129" s="11">
        <f>IF(E129="","",E129/MAX($E$2:E129)-1)</f>
        <v>-8.1004238072430734E-2</v>
      </c>
      <c r="R129" s="11">
        <f>IF(H129="","",H129/MAX($H$2:H129)-1)</f>
        <v>0</v>
      </c>
      <c r="S129" s="12">
        <f t="shared" si="37"/>
        <v>558060.43347571592</v>
      </c>
      <c r="T129" s="12">
        <f t="shared" si="46"/>
        <v>318374.30836049211</v>
      </c>
      <c r="U129" s="12">
        <f t="shared" si="49"/>
        <v>561530.796135062</v>
      </c>
      <c r="V129" s="12">
        <f t="shared" si="38"/>
        <v>341282.13009136572</v>
      </c>
      <c r="W129" s="12">
        <f t="shared" si="47"/>
        <v>194701.96345385991</v>
      </c>
      <c r="X129" s="12">
        <f t="shared" si="48"/>
        <v>343404.43206714757</v>
      </c>
    </row>
    <row r="130" spans="1:24" ht="15" x14ac:dyDescent="0.3">
      <c r="A130" s="10">
        <v>46266</v>
      </c>
      <c r="B130" s="5">
        <v>95.5124</v>
      </c>
      <c r="C130" s="6">
        <v>4157.34</v>
      </c>
      <c r="D130" s="6">
        <v>399043</v>
      </c>
      <c r="E130" s="7">
        <v>22620.45</v>
      </c>
      <c r="F130" s="7">
        <v>7651.54</v>
      </c>
      <c r="G130" s="8">
        <v>108.74</v>
      </c>
      <c r="H130" s="19">
        <f t="shared" si="25"/>
        <v>730816.94909599994</v>
      </c>
      <c r="I130" s="11">
        <f t="shared" si="39"/>
        <v>7.1350515431523043E-4</v>
      </c>
      <c r="J130" s="11">
        <f t="shared" si="40"/>
        <v>-6.5539501721766147E-2</v>
      </c>
      <c r="K130" s="11">
        <f t="shared" si="41"/>
        <v>-5.7304512166312271E-2</v>
      </c>
      <c r="L130" s="11">
        <f t="shared" si="42"/>
        <v>-6.0628145711865256E-2</v>
      </c>
      <c r="M130" s="11">
        <f t="shared" si="43"/>
        <v>-4.5016093904092225E-3</v>
      </c>
      <c r="N130" s="11">
        <f t="shared" si="44"/>
        <v>-3.79131615759698E-3</v>
      </c>
      <c r="O130" s="11">
        <f t="shared" si="45"/>
        <v>0</v>
      </c>
      <c r="P130" s="11">
        <f>IF(D130="","",D130/MAX($D$2:D130)-1)</f>
        <v>-0.16985375189831287</v>
      </c>
      <c r="Q130" s="11">
        <f>IF(E130="","",E130/MAX($E$2:E130)-1)</f>
        <v>-0.13672124703516209</v>
      </c>
      <c r="R130" s="11">
        <f>IF(H130="","",H130/MAX($H$2:H130)-1)</f>
        <v>-3.79131615759698E-3</v>
      </c>
      <c r="S130" s="12">
        <f t="shared" si="37"/>
        <v>526081.05257606914</v>
      </c>
      <c r="T130" s="12">
        <f t="shared" si="46"/>
        <v>299071.86440229788</v>
      </c>
      <c r="U130" s="12">
        <f t="shared" si="49"/>
        <v>559401.85535468685</v>
      </c>
      <c r="V130" s="12">
        <f t="shared" si="38"/>
        <v>321725.12411540002</v>
      </c>
      <c r="W130" s="12">
        <f t="shared" si="47"/>
        <v>182897.54444319301</v>
      </c>
      <c r="X130" s="12">
        <f t="shared" si="48"/>
        <v>342102.47729526099</v>
      </c>
    </row>
  </sheetData>
  <autoFilter ref="A1:X130" xr:uid="{00000000-0009-0000-0000-000001000000}"/>
  <pageMargins left="0.75" right="0.75" top="1" bottom="1" header="0.5" footer="0.5"/>
  <ignoredErrors>
    <ignoredError sqref="P3:P130"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35"/>
  <sheetViews>
    <sheetView showGridLines="0" zoomScale="65" workbookViewId="0">
      <pane ySplit="3" topLeftCell="A19" activePane="bottomLeft" state="frozen"/>
      <selection pane="bottomLeft" activeCell="I29" sqref="I29"/>
    </sheetView>
  </sheetViews>
  <sheetFormatPr defaultRowHeight="20.399999999999999" x14ac:dyDescent="0.3"/>
  <cols>
    <col min="1" max="1" width="63.109375" style="21" customWidth="1"/>
    <col min="2" max="3" width="24" style="21" customWidth="1"/>
    <col min="4" max="4" width="30" style="21" customWidth="1"/>
    <col min="5" max="5" width="94.21875" style="21" customWidth="1"/>
    <col min="6" max="7" width="8.88671875" style="21"/>
    <col min="8" max="8" width="54.6640625" style="21" bestFit="1" customWidth="1"/>
    <col min="9" max="9" width="28.5546875" style="21" bestFit="1" customWidth="1"/>
    <col min="10" max="14" width="8.88671875" style="21"/>
    <col min="15" max="15" width="4.6640625" style="21" customWidth="1"/>
    <col min="16" max="20" width="8.88671875" style="21" hidden="1" customWidth="1"/>
    <col min="21" max="22" width="8.88671875" style="21"/>
    <col min="23" max="23" width="55.77734375" style="21" customWidth="1"/>
    <col min="24" max="16384" width="8.88671875" style="21"/>
  </cols>
  <sheetData>
    <row r="1" spans="1:17" x14ac:dyDescent="0.3">
      <c r="A1" s="146" t="s">
        <v>56</v>
      </c>
      <c r="B1" s="147"/>
      <c r="C1" s="147"/>
      <c r="D1" s="147"/>
    </row>
    <row r="3" spans="1:17" ht="40.799999999999997" x14ac:dyDescent="0.3">
      <c r="A3" s="22" t="s">
        <v>57</v>
      </c>
      <c r="B3" s="23" t="s">
        <v>58</v>
      </c>
      <c r="C3" s="23" t="s">
        <v>37</v>
      </c>
      <c r="D3" s="23" t="s">
        <v>59</v>
      </c>
      <c r="E3" s="23" t="s">
        <v>2843</v>
      </c>
    </row>
    <row r="4" spans="1:17" x14ac:dyDescent="0.3">
      <c r="A4" s="24" t="s">
        <v>60</v>
      </c>
      <c r="B4" s="25">
        <f>'Monthly Data'!D2</f>
        <v>75852</v>
      </c>
      <c r="C4" s="26">
        <f>'Monthly Data'!E2</f>
        <v>7563.55</v>
      </c>
      <c r="D4" s="26">
        <f>'Monthly Data'!H2</f>
        <v>130642.56796800002</v>
      </c>
      <c r="E4" s="97" t="str">
        <f t="shared" ref="E4:E9" ca="1" si="0">_xlfn.FORMULATEXT(D4)</f>
        <v>='Monthly Data'!H2</v>
      </c>
    </row>
    <row r="5" spans="1:17" ht="40.799999999999997" x14ac:dyDescent="0.3">
      <c r="A5" s="24" t="s">
        <v>61</v>
      </c>
      <c r="B5" s="27" cm="1">
        <f t="array" ref="B5">IFERROR(LOOKUP(2,1/('Monthly Data'!D:D&lt;&gt;""),'Monthly Data'!D:D),"")</f>
        <v>399043</v>
      </c>
      <c r="C5" s="27">
        <f>IFERROR(LOOKUP(2,1/('Monthly Data'!E:E&lt;&gt;""),'Monthly Data'!E:E),"")</f>
        <v>22620.45</v>
      </c>
      <c r="D5" s="27">
        <f>IFERROR(LOOKUP(2,1/('Monthly Data'!H:H&lt;&gt;""),'Monthly Data'!H:H),"")</f>
        <v>730816.94909599994</v>
      </c>
      <c r="E5" s="97" t="str">
        <f t="shared" ca="1" si="0"/>
        <v>=IFERROR(LOOKUP(2,1/('Monthly Data'!H:H&lt;&gt;""),'Monthly Data'!H:H),"")</v>
      </c>
    </row>
    <row r="6" spans="1:17" x14ac:dyDescent="0.3">
      <c r="A6" s="24" t="s">
        <v>62</v>
      </c>
      <c r="B6" s="28">
        <f>IFERROR(B5/B4,"")</f>
        <v>5.2608105257606921</v>
      </c>
      <c r="C6" s="28">
        <f>IFERROR(C5/C4,"")</f>
        <v>2.9907186440229787</v>
      </c>
      <c r="D6" s="28">
        <f>IFERROR(D5/D4,"")</f>
        <v>5.5940185535468689</v>
      </c>
      <c r="E6" s="97" t="str">
        <f t="shared" ca="1" si="0"/>
        <v>=IFERROR(D5/D4,"")</v>
      </c>
    </row>
    <row r="7" spans="1:17" x14ac:dyDescent="0.3">
      <c r="A7" s="24" t="s">
        <v>63</v>
      </c>
      <c r="B7" s="29">
        <f>IFERROR(B5/B4-1,"")</f>
        <v>4.2608105257606921</v>
      </c>
      <c r="C7" s="29">
        <f>IFERROR(C5/C4-1,"")</f>
        <v>1.9907186440229787</v>
      </c>
      <c r="D7" s="29">
        <f>IFERROR(D5/D4-1,"")</f>
        <v>4.5940185535468689</v>
      </c>
      <c r="E7" s="98" t="str">
        <f t="shared" ca="1" si="0"/>
        <v>=IFERROR(D5/D4-1,"")</v>
      </c>
    </row>
    <row r="8" spans="1:17" x14ac:dyDescent="0.3">
      <c r="A8" s="24" t="s">
        <v>64</v>
      </c>
      <c r="B8" s="30">
        <f>IFERROR((B5/B4)^(365.25/($B$13-$B$12))-1,"")</f>
        <v>0.16841920546554512</v>
      </c>
      <c r="C8" s="30">
        <f>IFERROR((C5/C4)^(365.25/($B$13-$B$12))-1,"")</f>
        <v>0.10816379862881176</v>
      </c>
      <c r="D8" s="30">
        <f>IFERROR((D5/D4)^(365.25/($B$13-$B$12))-1,"")</f>
        <v>0.17516572381983075</v>
      </c>
      <c r="E8" s="97" t="str">
        <f t="shared" ca="1" si="0"/>
        <v>=IFERROR((D5/D4)^(365.25/($B$13-$B$12))-1,"")</v>
      </c>
    </row>
    <row r="9" spans="1:17" x14ac:dyDescent="0.3">
      <c r="A9" s="24" t="s">
        <v>65</v>
      </c>
      <c r="B9" s="31">
        <f>IFERROR(MIN('Monthly Data'!P2:P132),"")</f>
        <v>-0.21075329214254512</v>
      </c>
      <c r="C9" s="31">
        <f>IFERROR(MIN('Monthly Data'!Q2:Q132),"")</f>
        <v>-0.29343918083239862</v>
      </c>
      <c r="D9" s="31">
        <f>IFERROR(MIN('Monthly Data'!R2:R132),"")</f>
        <v>-0.19921112046474032</v>
      </c>
      <c r="E9" s="97" t="str">
        <f t="shared" ca="1" si="0"/>
        <v>=IFERROR(MIN('Monthly Data'!R2:R132),"")</v>
      </c>
      <c r="I9"/>
    </row>
    <row r="12" spans="1:17" x14ac:dyDescent="0.3">
      <c r="A12" s="32" t="s">
        <v>2840</v>
      </c>
      <c r="B12" s="33">
        <f>'Monthly Data'!A2</f>
        <v>42370</v>
      </c>
      <c r="C12" s="34"/>
    </row>
    <row r="13" spans="1:17" x14ac:dyDescent="0.3">
      <c r="A13" s="32" t="s">
        <v>2841</v>
      </c>
      <c r="B13" s="33">
        <f>'Monthly Data'!A130</f>
        <v>46266</v>
      </c>
      <c r="C13" s="34"/>
      <c r="I13"/>
    </row>
    <row r="15" spans="1:17" ht="39.6" customHeight="1" x14ac:dyDescent="0.3">
      <c r="A15" s="36" t="s">
        <v>2846</v>
      </c>
      <c r="B15" s="36"/>
      <c r="C15" s="36"/>
      <c r="D15" s="36"/>
      <c r="E15" s="36"/>
      <c r="F15"/>
      <c r="G15"/>
      <c r="H15"/>
      <c r="J15"/>
      <c r="K15"/>
      <c r="L15"/>
      <c r="M15"/>
      <c r="N15"/>
      <c r="O15"/>
      <c r="P15" s="36"/>
      <c r="Q15" s="36"/>
    </row>
    <row r="16" spans="1:17" x14ac:dyDescent="0.3">
      <c r="A16" s="96" t="s">
        <v>2848</v>
      </c>
      <c r="B16" s="96"/>
      <c r="C16" s="96"/>
      <c r="D16" s="96"/>
      <c r="E16" s="96"/>
      <c r="F16"/>
      <c r="G16"/>
      <c r="H16"/>
      <c r="J16"/>
      <c r="K16"/>
      <c r="L16"/>
      <c r="M16"/>
      <c r="N16"/>
      <c r="O16"/>
      <c r="P16" s="96"/>
      <c r="Q16" s="96"/>
    </row>
    <row r="17" spans="1:23" x14ac:dyDescent="0.3">
      <c r="A17" s="96" t="s">
        <v>2844</v>
      </c>
      <c r="B17" s="96"/>
      <c r="C17" s="96"/>
      <c r="D17" s="96"/>
      <c r="E17" s="96"/>
      <c r="F17"/>
      <c r="G17"/>
      <c r="H17"/>
      <c r="J17"/>
      <c r="K17"/>
      <c r="L17"/>
      <c r="M17"/>
      <c r="N17"/>
      <c r="O17"/>
      <c r="P17" s="96"/>
      <c r="Q17" s="96"/>
    </row>
    <row r="18" spans="1:23" ht="40.200000000000003" customHeight="1" x14ac:dyDescent="0.3">
      <c r="A18" s="145" t="s">
        <v>2845</v>
      </c>
      <c r="B18" s="145"/>
      <c r="C18" s="145"/>
      <c r="D18" s="145"/>
      <c r="E18" s="145"/>
      <c r="F18"/>
      <c r="G18"/>
      <c r="H18"/>
      <c r="J18"/>
      <c r="K18"/>
      <c r="L18"/>
      <c r="M18"/>
      <c r="N18"/>
      <c r="O18"/>
      <c r="P18" s="38"/>
      <c r="Q18" s="38"/>
    </row>
    <row r="19" spans="1:23" x14ac:dyDescent="0.3">
      <c r="A19" s="37" t="s">
        <v>2847</v>
      </c>
      <c r="B19" s="37"/>
      <c r="C19" s="37"/>
      <c r="D19" s="37"/>
      <c r="E19" s="37"/>
      <c r="F19"/>
      <c r="G19"/>
      <c r="H19"/>
      <c r="J19"/>
      <c r="K19"/>
      <c r="L19"/>
      <c r="M19"/>
      <c r="N19"/>
      <c r="O19"/>
      <c r="P19" s="37"/>
      <c r="Q19" s="37"/>
    </row>
    <row r="20" spans="1:23" x14ac:dyDescent="0.3">
      <c r="E20" s="35"/>
      <c r="F20" s="35"/>
      <c r="G20" s="35"/>
      <c r="H20" s="35"/>
    </row>
    <row r="21" spans="1:23" ht="21" thickBot="1" x14ac:dyDescent="0.35">
      <c r="E21" s="35"/>
      <c r="F21" s="35"/>
      <c r="G21" s="35"/>
      <c r="H21" s="35"/>
    </row>
    <row r="22" spans="1:23" ht="40.200000000000003" customHeight="1" x14ac:dyDescent="0.3">
      <c r="A22" s="139" t="s">
        <v>2893</v>
      </c>
      <c r="B22" s="133" t="s">
        <v>2894</v>
      </c>
      <c r="C22" s="133"/>
      <c r="D22" s="133"/>
      <c r="E22" s="134"/>
      <c r="F22" s="35"/>
      <c r="G22" s="35"/>
      <c r="H22" s="124" t="s">
        <v>2903</v>
      </c>
      <c r="I22" s="126" t="s">
        <v>2904</v>
      </c>
      <c r="J22" s="126"/>
      <c r="K22" s="126"/>
      <c r="L22" s="126"/>
      <c r="M22" s="126"/>
      <c r="N22" s="126"/>
      <c r="O22" s="126"/>
      <c r="P22" s="126"/>
      <c r="Q22" s="126"/>
      <c r="R22" s="126"/>
      <c r="S22" s="126"/>
      <c r="T22" s="126"/>
      <c r="U22" s="126"/>
      <c r="V22" s="126"/>
      <c r="W22" s="127"/>
    </row>
    <row r="23" spans="1:23" ht="57" customHeight="1" thickBot="1" x14ac:dyDescent="0.35">
      <c r="A23" s="141"/>
      <c r="B23" s="137"/>
      <c r="C23" s="137"/>
      <c r="D23" s="137"/>
      <c r="E23" s="138"/>
      <c r="F23" s="35"/>
      <c r="G23" s="35"/>
      <c r="H23" s="125"/>
      <c r="I23" s="128"/>
      <c r="J23" s="128"/>
      <c r="K23" s="128"/>
      <c r="L23" s="128"/>
      <c r="M23" s="128"/>
      <c r="N23" s="128"/>
      <c r="O23" s="128"/>
      <c r="P23" s="128"/>
      <c r="Q23" s="128"/>
      <c r="R23" s="128"/>
      <c r="S23" s="128"/>
      <c r="T23" s="128"/>
      <c r="U23" s="128"/>
      <c r="V23" s="128"/>
      <c r="W23" s="129"/>
    </row>
    <row r="24" spans="1:23" ht="20.399999999999999" customHeight="1" x14ac:dyDescent="0.3">
      <c r="A24" s="144" t="s">
        <v>2895</v>
      </c>
      <c r="B24" s="133" t="s">
        <v>2896</v>
      </c>
      <c r="C24" s="133"/>
      <c r="D24" s="133"/>
      <c r="E24" s="134"/>
      <c r="H24" s="99"/>
      <c r="I24" s="100"/>
      <c r="J24" s="100"/>
      <c r="K24" s="100"/>
      <c r="L24" s="100"/>
      <c r="M24" s="100"/>
      <c r="N24" s="100"/>
      <c r="O24" s="100"/>
      <c r="P24" s="100"/>
      <c r="Q24" s="100"/>
      <c r="R24" s="100"/>
      <c r="S24" s="100"/>
      <c r="T24" s="100"/>
      <c r="U24" s="100"/>
      <c r="V24" s="100"/>
      <c r="W24" s="101"/>
    </row>
    <row r="25" spans="1:23" x14ac:dyDescent="0.3">
      <c r="A25" s="142"/>
      <c r="B25" s="135"/>
      <c r="C25" s="135"/>
      <c r="D25" s="135"/>
      <c r="E25" s="136"/>
      <c r="H25" s="132" t="s">
        <v>20</v>
      </c>
      <c r="I25" s="130" t="s">
        <v>2905</v>
      </c>
      <c r="J25" s="130"/>
      <c r="K25" s="130"/>
      <c r="L25" s="130"/>
      <c r="M25" s="130"/>
      <c r="N25" s="130"/>
      <c r="O25" s="130"/>
      <c r="P25" s="130"/>
      <c r="Q25" s="130"/>
      <c r="R25" s="130"/>
      <c r="S25" s="130"/>
      <c r="T25" s="130"/>
      <c r="U25" s="130"/>
      <c r="V25" s="130"/>
      <c r="W25" s="131"/>
    </row>
    <row r="26" spans="1:23" ht="67.8" customHeight="1" thickBot="1" x14ac:dyDescent="0.35">
      <c r="A26" s="143"/>
      <c r="B26" s="137"/>
      <c r="C26" s="137"/>
      <c r="D26" s="137"/>
      <c r="E26" s="138"/>
      <c r="H26" s="125"/>
      <c r="I26" s="128"/>
      <c r="J26" s="128"/>
      <c r="K26" s="128"/>
      <c r="L26" s="128"/>
      <c r="M26" s="128"/>
      <c r="N26" s="128"/>
      <c r="O26" s="128"/>
      <c r="P26" s="128"/>
      <c r="Q26" s="128"/>
      <c r="R26" s="128"/>
      <c r="S26" s="128"/>
      <c r="T26" s="128"/>
      <c r="U26" s="128"/>
      <c r="V26" s="128"/>
      <c r="W26" s="129"/>
    </row>
    <row r="27" spans="1:23" ht="20.399999999999999" customHeight="1" x14ac:dyDescent="0.3">
      <c r="A27" s="144" t="s">
        <v>2897</v>
      </c>
      <c r="B27" s="133" t="s">
        <v>2898</v>
      </c>
      <c r="C27" s="133"/>
      <c r="D27" s="133"/>
      <c r="E27" s="134"/>
    </row>
    <row r="28" spans="1:23" x14ac:dyDescent="0.3">
      <c r="A28" s="142"/>
      <c r="B28" s="135"/>
      <c r="C28" s="135"/>
      <c r="D28" s="135"/>
      <c r="E28" s="136"/>
    </row>
    <row r="29" spans="1:23" ht="39.6" customHeight="1" thickBot="1" x14ac:dyDescent="0.35">
      <c r="A29" s="143"/>
      <c r="B29" s="137"/>
      <c r="C29" s="137"/>
      <c r="D29" s="137"/>
      <c r="E29" s="138"/>
    </row>
    <row r="30" spans="1:23" ht="20.399999999999999" customHeight="1" x14ac:dyDescent="0.3">
      <c r="A30" s="139" t="s">
        <v>2899</v>
      </c>
      <c r="B30" s="133" t="s">
        <v>2900</v>
      </c>
      <c r="C30" s="133"/>
      <c r="D30" s="133"/>
      <c r="E30" s="134"/>
    </row>
    <row r="31" spans="1:23" x14ac:dyDescent="0.3">
      <c r="A31" s="140"/>
      <c r="B31" s="135"/>
      <c r="C31" s="135"/>
      <c r="D31" s="135"/>
      <c r="E31" s="136"/>
    </row>
    <row r="32" spans="1:23" ht="35.4" customHeight="1" thickBot="1" x14ac:dyDescent="0.35">
      <c r="A32" s="141"/>
      <c r="B32" s="137"/>
      <c r="C32" s="137"/>
      <c r="D32" s="137"/>
      <c r="E32" s="138"/>
    </row>
    <row r="33" spans="1:5" ht="20.399999999999999" customHeight="1" x14ac:dyDescent="0.3">
      <c r="A33" s="142" t="s">
        <v>2901</v>
      </c>
      <c r="B33" s="135" t="s">
        <v>2902</v>
      </c>
      <c r="C33" s="135"/>
      <c r="D33" s="135"/>
      <c r="E33" s="136"/>
    </row>
    <row r="34" spans="1:5" x14ac:dyDescent="0.3">
      <c r="A34" s="142"/>
      <c r="B34" s="135"/>
      <c r="C34" s="135"/>
      <c r="D34" s="135"/>
      <c r="E34" s="136"/>
    </row>
    <row r="35" spans="1:5" ht="42" customHeight="1" thickBot="1" x14ac:dyDescent="0.35">
      <c r="A35" s="143"/>
      <c r="B35" s="137"/>
      <c r="C35" s="137"/>
      <c r="D35" s="137"/>
      <c r="E35" s="138"/>
    </row>
  </sheetData>
  <mergeCells count="16">
    <mergeCell ref="A18:E18"/>
    <mergeCell ref="B22:E23"/>
    <mergeCell ref="A22:A23"/>
    <mergeCell ref="A1:D1"/>
    <mergeCell ref="A30:A32"/>
    <mergeCell ref="A33:A35"/>
    <mergeCell ref="B33:E35"/>
    <mergeCell ref="B24:E26"/>
    <mergeCell ref="A24:A26"/>
    <mergeCell ref="B27:E29"/>
    <mergeCell ref="A27:A29"/>
    <mergeCell ref="H22:H23"/>
    <mergeCell ref="I22:W23"/>
    <mergeCell ref="I25:W26"/>
    <mergeCell ref="H25:H26"/>
    <mergeCell ref="B30:E3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1D2A1-4F81-413A-8ED7-40DF75309463}">
  <dimension ref="A1:I16"/>
  <sheetViews>
    <sheetView showGridLines="0" zoomScale="79" workbookViewId="0">
      <selection activeCell="N26" sqref="N26"/>
    </sheetView>
  </sheetViews>
  <sheetFormatPr defaultRowHeight="16.2" customHeight="1" x14ac:dyDescent="0.25"/>
  <cols>
    <col min="1" max="1" width="32.44140625" style="46" customWidth="1"/>
    <col min="2" max="2" width="17.21875" style="46" customWidth="1"/>
    <col min="3" max="4" width="8.88671875" style="46"/>
    <col min="5" max="5" width="21.6640625" style="46" customWidth="1"/>
    <col min="6" max="6" width="17.109375" style="46" bestFit="1" customWidth="1"/>
    <col min="7" max="7" width="18.88671875" style="46" bestFit="1" customWidth="1"/>
    <col min="8" max="9" width="14.6640625" style="46" bestFit="1" customWidth="1"/>
    <col min="10" max="15" width="8.88671875" style="46"/>
    <col min="16" max="16" width="60.5546875" style="46" customWidth="1"/>
    <col min="17" max="16384" width="8.88671875" style="46"/>
  </cols>
  <sheetData>
    <row r="1" spans="1:9" ht="15" customHeight="1" x14ac:dyDescent="0.25">
      <c r="D1" s="150" t="s">
        <v>2866</v>
      </c>
      <c r="E1" s="150"/>
      <c r="F1" s="150"/>
      <c r="G1" s="150"/>
      <c r="H1" s="150"/>
      <c r="I1" s="150"/>
    </row>
    <row r="2" spans="1:9" ht="16.2" customHeight="1" x14ac:dyDescent="0.25">
      <c r="A2" s="46" t="s">
        <v>2849</v>
      </c>
      <c r="B2" s="46">
        <v>100000</v>
      </c>
      <c r="D2" s="45"/>
      <c r="E2" s="45"/>
      <c r="F2" s="54" t="s">
        <v>2868</v>
      </c>
      <c r="G2" s="54" t="s">
        <v>2862</v>
      </c>
      <c r="H2" s="54" t="s">
        <v>2864</v>
      </c>
      <c r="I2" s="54" t="s">
        <v>2865</v>
      </c>
    </row>
    <row r="3" spans="1:9" ht="16.2" customHeight="1" x14ac:dyDescent="0.25">
      <c r="A3" s="46" t="s">
        <v>2850</v>
      </c>
      <c r="B3" s="46">
        <v>10</v>
      </c>
      <c r="D3" s="154" t="s">
        <v>2873</v>
      </c>
      <c r="E3" s="154"/>
      <c r="F3" s="53"/>
      <c r="G3" s="53"/>
      <c r="H3" s="53"/>
      <c r="I3" s="53"/>
    </row>
    <row r="4" spans="1:9" ht="16.2" customHeight="1" x14ac:dyDescent="0.25">
      <c r="A4" s="46" t="s">
        <v>2851</v>
      </c>
      <c r="B4" s="47">
        <v>0.10816379862881199</v>
      </c>
      <c r="D4" s="151" t="s">
        <v>2851</v>
      </c>
      <c r="E4" s="151"/>
      <c r="F4" s="48">
        <v>0.10816379862881199</v>
      </c>
      <c r="G4" s="49">
        <v>0.14000000000000001</v>
      </c>
      <c r="H4" s="50">
        <v>0.10816379862881199</v>
      </c>
      <c r="I4" s="51">
        <v>0.05</v>
      </c>
    </row>
    <row r="5" spans="1:9" ht="16.2" customHeight="1" x14ac:dyDescent="0.25">
      <c r="A5" s="46" t="s">
        <v>2852</v>
      </c>
      <c r="B5" s="47">
        <v>0.137273726660083</v>
      </c>
      <c r="D5" s="152" t="s">
        <v>2852</v>
      </c>
      <c r="E5" s="152"/>
      <c r="F5" s="48">
        <v>0.137273726660083</v>
      </c>
      <c r="G5" s="49">
        <v>0.17</v>
      </c>
      <c r="H5" s="50">
        <v>0.137273726660083</v>
      </c>
      <c r="I5" s="51">
        <v>0.06</v>
      </c>
    </row>
    <row r="6" spans="1:9" ht="16.2" customHeight="1" x14ac:dyDescent="0.25">
      <c r="A6" s="46" t="s">
        <v>2853</v>
      </c>
      <c r="B6" s="47">
        <v>3.3318273579596297E-2</v>
      </c>
      <c r="D6" s="152" t="s">
        <v>2853</v>
      </c>
      <c r="E6" s="152"/>
      <c r="F6" s="48">
        <v>3.3318273579596297E-2</v>
      </c>
      <c r="G6" s="49">
        <v>0.08</v>
      </c>
      <c r="H6" s="50">
        <v>3.3318273579596297E-2</v>
      </c>
      <c r="I6" s="51">
        <v>0.02</v>
      </c>
    </row>
    <row r="7" spans="1:9" ht="16.2" customHeight="1" x14ac:dyDescent="0.25">
      <c r="A7" s="46" t="s">
        <v>2854</v>
      </c>
      <c r="B7" s="47">
        <v>0.16841920546554501</v>
      </c>
      <c r="D7" s="152" t="s">
        <v>2854</v>
      </c>
      <c r="E7" s="152"/>
      <c r="F7" s="48">
        <v>0.16841920546554501</v>
      </c>
      <c r="G7" s="49">
        <v>0.21</v>
      </c>
      <c r="H7" s="50">
        <v>0.16841920546554501</v>
      </c>
      <c r="I7" s="51">
        <v>0.08</v>
      </c>
    </row>
    <row r="8" spans="1:9" ht="16.2" customHeight="1" x14ac:dyDescent="0.25">
      <c r="A8" s="46" t="s">
        <v>2855</v>
      </c>
      <c r="B8" s="47">
        <v>3.8685738280797499E-3</v>
      </c>
      <c r="D8" s="153" t="s">
        <v>2855</v>
      </c>
      <c r="E8" s="153"/>
      <c r="F8" s="48">
        <v>3.8685738280797499E-3</v>
      </c>
      <c r="G8" s="49">
        <v>0.06</v>
      </c>
      <c r="H8" s="50">
        <v>3.8685738280797499E-3</v>
      </c>
      <c r="I8" s="51">
        <v>2.5000000000000001E-3</v>
      </c>
    </row>
    <row r="9" spans="1:9" ht="16.2" customHeight="1" x14ac:dyDescent="0.25">
      <c r="D9" s="155" t="s">
        <v>2869</v>
      </c>
      <c r="E9" s="155"/>
      <c r="F9" s="53"/>
      <c r="G9" s="53"/>
      <c r="H9" s="53"/>
      <c r="I9" s="53"/>
    </row>
    <row r="10" spans="1:9" ht="30" customHeight="1" x14ac:dyDescent="0.25">
      <c r="A10" s="52" t="s">
        <v>2875</v>
      </c>
      <c r="B10" s="52" t="s">
        <v>2874</v>
      </c>
      <c r="D10" s="156" t="s">
        <v>2856</v>
      </c>
      <c r="E10" s="156"/>
      <c r="F10" s="87">
        <v>279279.83917813998</v>
      </c>
      <c r="G10" s="87">
        <v>370722.13141185697</v>
      </c>
      <c r="H10" s="87">
        <v>279279.83917813998</v>
      </c>
      <c r="I10" s="87">
        <v>162889.46267774401</v>
      </c>
    </row>
    <row r="11" spans="1:9" ht="15" x14ac:dyDescent="0.25">
      <c r="A11" s="56" t="s">
        <v>2856</v>
      </c>
      <c r="B11" s="55">
        <f>B2*(1+B4)^B3</f>
        <v>279279.83917813969</v>
      </c>
      <c r="D11" s="148" t="s">
        <v>2857</v>
      </c>
      <c r="E11" s="148"/>
      <c r="F11" s="87">
        <v>502332.36283863097</v>
      </c>
      <c r="G11" s="87">
        <v>1037758.19671411</v>
      </c>
      <c r="H11" s="87">
        <v>502332.36283863097</v>
      </c>
      <c r="I11" s="87">
        <v>218303.33491462099</v>
      </c>
    </row>
    <row r="12" spans="1:9" ht="15" x14ac:dyDescent="0.25">
      <c r="A12" s="56" t="s">
        <v>2857</v>
      </c>
      <c r="B12" s="55">
        <f>B2*((1+B5)*(1+B6))^B3</f>
        <v>502332.36283863138</v>
      </c>
      <c r="D12" s="148" t="s">
        <v>2858</v>
      </c>
      <c r="E12" s="148"/>
      <c r="F12" s="87">
        <v>474227.64684778498</v>
      </c>
      <c r="G12" s="87">
        <v>672749.99493256002</v>
      </c>
      <c r="H12" s="87">
        <v>474227.64684778498</v>
      </c>
      <c r="I12" s="87">
        <v>215892.49972727901</v>
      </c>
    </row>
    <row r="13" spans="1:9" ht="15.6" x14ac:dyDescent="0.3">
      <c r="A13" s="56" t="s">
        <v>2858</v>
      </c>
      <c r="B13" s="55">
        <f>B2*(1+B7)^B3</f>
        <v>474227.64684778487</v>
      </c>
      <c r="D13" s="148" t="s">
        <v>2859</v>
      </c>
      <c r="E13" s="148"/>
      <c r="F13" s="87">
        <v>268702.06091994402</v>
      </c>
      <c r="G13" s="94">
        <v>207009.30186722099</v>
      </c>
      <c r="H13" s="87">
        <v>268702.06091994402</v>
      </c>
      <c r="I13" s="87">
        <v>158872.66394887201</v>
      </c>
    </row>
    <row r="14" spans="1:9" ht="15.6" x14ac:dyDescent="0.3">
      <c r="A14" s="56" t="s">
        <v>2859</v>
      </c>
      <c r="B14" s="55">
        <f>B2*(1+B4)^B3/(1+B8)^B3</f>
        <v>268702.06091994356</v>
      </c>
      <c r="D14" s="148" t="s">
        <v>2860</v>
      </c>
      <c r="E14" s="148"/>
      <c r="F14" s="87">
        <v>483306.42683960102</v>
      </c>
      <c r="G14" s="94">
        <v>579478.75674600794</v>
      </c>
      <c r="H14" s="87">
        <v>483306.42683960102</v>
      </c>
      <c r="I14" s="87">
        <v>212920.04895014799</v>
      </c>
    </row>
    <row r="15" spans="1:9" thickBot="1" x14ac:dyDescent="0.35">
      <c r="A15" s="56" t="s">
        <v>2860</v>
      </c>
      <c r="B15" s="55">
        <f>B2*((1+B5)*(1+B6))^B3/(1+B8)^B3</f>
        <v>483306.42683960107</v>
      </c>
      <c r="D15" s="149" t="s">
        <v>2861</v>
      </c>
      <c r="E15" s="149"/>
      <c r="F15" s="88">
        <v>456266.18243623298</v>
      </c>
      <c r="G15" s="95">
        <v>375660.08334001299</v>
      </c>
      <c r="H15" s="88">
        <v>456266.18243623298</v>
      </c>
      <c r="I15" s="88">
        <v>210568.66413827401</v>
      </c>
    </row>
    <row r="16" spans="1:9" ht="16.2" customHeight="1" x14ac:dyDescent="0.25">
      <c r="A16" s="56" t="s">
        <v>2861</v>
      </c>
      <c r="B16" s="55">
        <f>B2*(1+B7)^B3/(1+B8)^B3</f>
        <v>456266.18243623327</v>
      </c>
    </row>
  </sheetData>
  <scenarios current="2" show="0" sqref="B11:B16">
    <scenario name="Optimistic" locked="1" count="5" user="Nandhakumar T" comment="Created by Nandhakumar T on 10-10-2026_x000a_Modified by Nandhakumar T on 10-10-2026">
      <inputCells r="B4" val="0.14"/>
      <inputCells r="B5" val="0.17"/>
      <inputCells r="B6" val="0.08"/>
      <inputCells r="B7" val="0.21"/>
      <inputCells r="B8" val="0.06"/>
    </scenario>
    <scenario name="Best case" locked="1" count="5" user="Nandhakumar T" comment="Created by Nandhakumar T on 10-10-2026_x000a_Modified by Nandhakumar T on 10-10-2026">
      <inputCells r="B4" val="0.108163798628812"/>
      <inputCells r="B5" val="0.137273726660083"/>
      <inputCells r="B6" val="0.0333182735795963"/>
      <inputCells r="B7" val="0.168419205465545"/>
      <inputCells r="B8" val="0.00386857382807975"/>
    </scenario>
    <scenario name="Stress Case" locked="1" count="5" user="Nandhakumar T" comment="Created by Nandhakumar T on 10-10-2026_x000a_Modified by Nandhakumar T on 10-10-2026">
      <inputCells r="B4" val="0.05"/>
      <inputCells r="B5" val="0.06"/>
      <inputCells r="B6" val="0.02"/>
      <inputCells r="B7" val="0.08"/>
      <inputCells r="B8" val="0.0025"/>
    </scenario>
  </scenarios>
  <mergeCells count="14">
    <mergeCell ref="D14:E14"/>
    <mergeCell ref="D15:E15"/>
    <mergeCell ref="D1:I1"/>
    <mergeCell ref="D4:E4"/>
    <mergeCell ref="D5:E5"/>
    <mergeCell ref="D6:E6"/>
    <mergeCell ref="D7:E7"/>
    <mergeCell ref="D8:E8"/>
    <mergeCell ref="D3:E3"/>
    <mergeCell ref="D9:E9"/>
    <mergeCell ref="D10:E10"/>
    <mergeCell ref="D11:E11"/>
    <mergeCell ref="D12:E12"/>
    <mergeCell ref="D13:E1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1"/>
  <sheetViews>
    <sheetView showGridLines="0" workbookViewId="0">
      <pane ySplit="1" topLeftCell="A2" activePane="bottomLeft" state="frozen"/>
      <selection pane="bottomLeft" activeCell="C12" sqref="C12"/>
    </sheetView>
  </sheetViews>
  <sheetFormatPr defaultRowHeight="24" customHeight="1" x14ac:dyDescent="0.3"/>
  <cols>
    <col min="1" max="1" width="25" customWidth="1"/>
    <col min="2" max="2" width="75.77734375" bestFit="1" customWidth="1"/>
    <col min="3" max="3" width="69.33203125" bestFit="1" customWidth="1"/>
  </cols>
  <sheetData>
    <row r="1" spans="1:3" ht="24" customHeight="1" x14ac:dyDescent="0.3">
      <c r="A1" s="13" t="s">
        <v>57</v>
      </c>
      <c r="B1" s="13" t="s">
        <v>66</v>
      </c>
      <c r="C1" s="13" t="s">
        <v>67</v>
      </c>
    </row>
    <row r="2" spans="1:3" ht="24" customHeight="1" x14ac:dyDescent="0.3">
      <c r="A2" s="15" t="s">
        <v>68</v>
      </c>
      <c r="B2" s="14" t="s">
        <v>69</v>
      </c>
      <c r="C2" s="14" t="s">
        <v>70</v>
      </c>
    </row>
    <row r="3" spans="1:3" ht="24" customHeight="1" x14ac:dyDescent="0.3">
      <c r="A3" s="15" t="s">
        <v>71</v>
      </c>
      <c r="B3" s="14" t="s">
        <v>72</v>
      </c>
      <c r="C3" s="14" t="s">
        <v>73</v>
      </c>
    </row>
    <row r="4" spans="1:3" ht="24" customHeight="1" x14ac:dyDescent="0.3">
      <c r="A4" s="15" t="s">
        <v>74</v>
      </c>
      <c r="B4" s="14" t="s">
        <v>75</v>
      </c>
      <c r="C4" s="14" t="s">
        <v>76</v>
      </c>
    </row>
    <row r="5" spans="1:3" ht="24" customHeight="1" x14ac:dyDescent="0.3">
      <c r="A5" s="15" t="s">
        <v>77</v>
      </c>
      <c r="B5" s="14" t="s">
        <v>78</v>
      </c>
      <c r="C5" s="14" t="s">
        <v>79</v>
      </c>
    </row>
    <row r="6" spans="1:3" ht="24" customHeight="1" x14ac:dyDescent="0.3">
      <c r="A6" s="15" t="s">
        <v>80</v>
      </c>
      <c r="B6" s="14" t="s">
        <v>81</v>
      </c>
      <c r="C6" s="14" t="s">
        <v>82</v>
      </c>
    </row>
    <row r="7" spans="1:3" ht="24" customHeight="1" x14ac:dyDescent="0.3">
      <c r="A7" s="15" t="s">
        <v>83</v>
      </c>
      <c r="B7" s="14" t="s">
        <v>84</v>
      </c>
      <c r="C7" s="14" t="s">
        <v>85</v>
      </c>
    </row>
    <row r="8" spans="1:3" ht="24" customHeight="1" x14ac:dyDescent="0.3">
      <c r="A8" s="15" t="s">
        <v>86</v>
      </c>
      <c r="B8" s="14" t="s">
        <v>87</v>
      </c>
      <c r="C8" s="14" t="s">
        <v>88</v>
      </c>
    </row>
    <row r="9" spans="1:3" ht="24" customHeight="1" x14ac:dyDescent="0.3">
      <c r="A9" s="15" t="s">
        <v>89</v>
      </c>
      <c r="B9" s="14" t="s">
        <v>90</v>
      </c>
      <c r="C9" s="14" t="s">
        <v>91</v>
      </c>
    </row>
    <row r="10" spans="1:3" ht="24" customHeight="1" x14ac:dyDescent="0.3">
      <c r="A10" s="15" t="s">
        <v>92</v>
      </c>
      <c r="B10" s="14" t="s">
        <v>93</v>
      </c>
      <c r="C10" s="14" t="s">
        <v>94</v>
      </c>
    </row>
    <row r="11" spans="1:3" ht="24" customHeight="1" x14ac:dyDescent="0.3">
      <c r="A11" s="15" t="s">
        <v>95</v>
      </c>
      <c r="B11" s="14" t="s">
        <v>96</v>
      </c>
      <c r="C11" s="14" t="s">
        <v>97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BBC3A-A9E6-4832-A1E0-9674BFC8FF84}">
  <sheetPr>
    <outlinePr summaryBelow="0"/>
  </sheetPr>
  <dimension ref="B1:G20"/>
  <sheetViews>
    <sheetView showGridLines="0" workbookViewId="0">
      <selection activeCell="E17" sqref="E17"/>
    </sheetView>
  </sheetViews>
  <sheetFormatPr defaultRowHeight="14.4" outlineLevelRow="1" outlineLevelCol="1" x14ac:dyDescent="0.3"/>
  <cols>
    <col min="3" max="3" width="6.109375" bestFit="1" customWidth="1"/>
    <col min="4" max="7" width="13.88671875" bestFit="1" customWidth="1" outlineLevel="1"/>
  </cols>
  <sheetData>
    <row r="1" spans="2:7" ht="15" thickBot="1" x14ac:dyDescent="0.35"/>
    <row r="2" spans="2:7" ht="15.6" x14ac:dyDescent="0.3">
      <c r="B2" s="40" t="s">
        <v>2866</v>
      </c>
      <c r="C2" s="40"/>
      <c r="D2" s="43"/>
      <c r="E2" s="43"/>
      <c r="F2" s="43"/>
      <c r="G2" s="43"/>
    </row>
    <row r="3" spans="2:7" ht="15.6" collapsed="1" x14ac:dyDescent="0.3">
      <c r="B3" s="39"/>
      <c r="C3" s="39"/>
      <c r="D3" s="44" t="s">
        <v>2868</v>
      </c>
      <c r="E3" s="44" t="s">
        <v>2862</v>
      </c>
      <c r="F3" s="44" t="s">
        <v>2864</v>
      </c>
      <c r="G3" s="44" t="s">
        <v>2865</v>
      </c>
    </row>
    <row r="4" spans="2:7" ht="61.2" hidden="1" outlineLevel="1" x14ac:dyDescent="0.3">
      <c r="B4" s="91"/>
      <c r="C4" s="91"/>
      <c r="E4" s="93" t="s">
        <v>2863</v>
      </c>
      <c r="F4" s="93" t="s">
        <v>2863</v>
      </c>
      <c r="G4" s="93" t="s">
        <v>2863</v>
      </c>
    </row>
    <row r="5" spans="2:7" x14ac:dyDescent="0.3">
      <c r="B5" s="41" t="s">
        <v>2867</v>
      </c>
      <c r="C5" s="41"/>
      <c r="D5" s="90"/>
      <c r="E5" s="90"/>
      <c r="F5" s="90"/>
      <c r="G5" s="90"/>
    </row>
    <row r="6" spans="2:7" outlineLevel="1" x14ac:dyDescent="0.3">
      <c r="B6" s="91"/>
      <c r="C6" s="91" t="s">
        <v>2882</v>
      </c>
      <c r="D6" s="89">
        <v>0.10816379862881199</v>
      </c>
      <c r="E6" s="92">
        <v>0.14000000000000001</v>
      </c>
      <c r="F6" s="92">
        <v>0.10816379862881199</v>
      </c>
      <c r="G6" s="92">
        <v>0.05</v>
      </c>
    </row>
    <row r="7" spans="2:7" outlineLevel="1" x14ac:dyDescent="0.3">
      <c r="B7" s="91"/>
      <c r="C7" s="91" t="s">
        <v>2883</v>
      </c>
      <c r="D7" s="89">
        <v>0.137273726660083</v>
      </c>
      <c r="E7" s="92">
        <v>0.17</v>
      </c>
      <c r="F7" s="92">
        <v>0.137273726660083</v>
      </c>
      <c r="G7" s="92">
        <v>0.06</v>
      </c>
    </row>
    <row r="8" spans="2:7" outlineLevel="1" x14ac:dyDescent="0.3">
      <c r="B8" s="91"/>
      <c r="C8" s="91" t="s">
        <v>2884</v>
      </c>
      <c r="D8" s="89">
        <v>3.3318273579596297E-2</v>
      </c>
      <c r="E8" s="92">
        <v>0.08</v>
      </c>
      <c r="F8" s="92">
        <v>3.3318273579596297E-2</v>
      </c>
      <c r="G8" s="92">
        <v>0.02</v>
      </c>
    </row>
    <row r="9" spans="2:7" outlineLevel="1" x14ac:dyDescent="0.3">
      <c r="B9" s="91"/>
      <c r="C9" s="91" t="s">
        <v>2885</v>
      </c>
      <c r="D9" s="89">
        <v>0.16841920546554501</v>
      </c>
      <c r="E9" s="92">
        <v>0.21</v>
      </c>
      <c r="F9" s="92">
        <v>0.16841920546554501</v>
      </c>
      <c r="G9" s="92">
        <v>0.08</v>
      </c>
    </row>
    <row r="10" spans="2:7" outlineLevel="1" x14ac:dyDescent="0.3">
      <c r="B10" s="91"/>
      <c r="C10" s="91" t="s">
        <v>2886</v>
      </c>
      <c r="D10" s="89">
        <v>3.8685738280797499E-3</v>
      </c>
      <c r="E10" s="92">
        <v>0.06</v>
      </c>
      <c r="F10" s="92">
        <v>3.8685738280797499E-3</v>
      </c>
      <c r="G10" s="92">
        <v>2.5000000000000001E-3</v>
      </c>
    </row>
    <row r="11" spans="2:7" x14ac:dyDescent="0.3">
      <c r="B11" s="41" t="s">
        <v>2869</v>
      </c>
      <c r="C11" s="41"/>
      <c r="D11" s="90"/>
      <c r="E11" s="90"/>
      <c r="F11" s="90"/>
      <c r="G11" s="90"/>
    </row>
    <row r="12" spans="2:7" outlineLevel="1" x14ac:dyDescent="0.3">
      <c r="B12" s="91"/>
      <c r="C12" s="91" t="s">
        <v>2887</v>
      </c>
      <c r="D12" s="94">
        <v>279279.83917813998</v>
      </c>
      <c r="E12" s="94">
        <v>370722.13141185697</v>
      </c>
      <c r="F12" s="94">
        <v>279279.83917813998</v>
      </c>
      <c r="G12" s="94">
        <v>162889.46267774401</v>
      </c>
    </row>
    <row r="13" spans="2:7" outlineLevel="1" x14ac:dyDescent="0.3">
      <c r="B13" s="91"/>
      <c r="C13" s="91" t="s">
        <v>2888</v>
      </c>
      <c r="D13" s="94">
        <v>502332.36283863097</v>
      </c>
      <c r="E13" s="94">
        <v>1037758.19671411</v>
      </c>
      <c r="F13" s="94">
        <v>502332.36283863097</v>
      </c>
      <c r="G13" s="94">
        <v>218303.33491462099</v>
      </c>
    </row>
    <row r="14" spans="2:7" outlineLevel="1" x14ac:dyDescent="0.3">
      <c r="B14" s="91"/>
      <c r="C14" s="91" t="s">
        <v>2889</v>
      </c>
      <c r="D14" s="94">
        <v>474227.64684778498</v>
      </c>
      <c r="E14" s="94">
        <v>672749.99493256002</v>
      </c>
      <c r="F14" s="94">
        <v>474227.64684778498</v>
      </c>
      <c r="G14" s="94">
        <v>215892.49972727901</v>
      </c>
    </row>
    <row r="15" spans="2:7" outlineLevel="1" x14ac:dyDescent="0.3">
      <c r="B15" s="91"/>
      <c r="C15" s="91" t="s">
        <v>2890</v>
      </c>
      <c r="D15" s="94">
        <v>268702.06091994402</v>
      </c>
      <c r="E15" s="94">
        <v>207009.30186722099</v>
      </c>
      <c r="F15" s="94">
        <v>268702.06091994402</v>
      </c>
      <c r="G15" s="94">
        <v>158872.66394887201</v>
      </c>
    </row>
    <row r="16" spans="2:7" outlineLevel="1" x14ac:dyDescent="0.3">
      <c r="B16" s="91"/>
      <c r="C16" s="91" t="s">
        <v>2891</v>
      </c>
      <c r="D16" s="94">
        <v>483306.42683960102</v>
      </c>
      <c r="E16" s="94">
        <v>579478.75674600794</v>
      </c>
      <c r="F16" s="94">
        <v>483306.42683960102</v>
      </c>
      <c r="G16" s="94">
        <v>212920.04895014799</v>
      </c>
    </row>
    <row r="17" spans="2:7" ht="15" outlineLevel="1" thickBot="1" x14ac:dyDescent="0.35">
      <c r="B17" s="42"/>
      <c r="C17" s="42" t="s">
        <v>2892</v>
      </c>
      <c r="D17" s="95">
        <v>456266.18243623298</v>
      </c>
      <c r="E17" s="95">
        <v>375660.08334001299</v>
      </c>
      <c r="F17" s="95">
        <v>456266.18243623298</v>
      </c>
      <c r="G17" s="95">
        <v>210568.66413827401</v>
      </c>
    </row>
    <row r="18" spans="2:7" x14ac:dyDescent="0.3">
      <c r="B18" t="s">
        <v>2870</v>
      </c>
    </row>
    <row r="19" spans="2:7" x14ac:dyDescent="0.3">
      <c r="B19" t="s">
        <v>2871</v>
      </c>
    </row>
    <row r="20" spans="2:7" x14ac:dyDescent="0.3">
      <c r="B20" t="s">
        <v>2872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Directory</vt:lpstr>
      <vt:lpstr>Raw_Data</vt:lpstr>
      <vt:lpstr>Monthly Data</vt:lpstr>
      <vt:lpstr>Results</vt:lpstr>
      <vt:lpstr>Scenario Analysis</vt:lpstr>
      <vt:lpstr>Methods &amp; Definitions</vt:lpstr>
      <vt:lpstr>Scenario Summary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Nandha Kumar T</cp:lastModifiedBy>
  <cp:lastPrinted>2026-10-09T22:39:26Z</cp:lastPrinted>
  <dcterms:created xsi:type="dcterms:W3CDTF">2026-10-09T07:53:49Z</dcterms:created>
  <dcterms:modified xsi:type="dcterms:W3CDTF">2026-10-09T23:52:32Z</dcterms:modified>
</cp:coreProperties>
</file>